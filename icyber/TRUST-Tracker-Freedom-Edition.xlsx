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<sst xmlns="http://schemas.openxmlformats.org/spreadsheetml/2006/main" count="340" uniqueCount="293">
  <si>
    <t xml:space="preserve">Hey, I'm Liliane. 👋</t>
  </si>
  <si>
    <t xml:space="preserve">You work hard for your money. But is it creating the life you're working so hard for?</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</si>
  <si>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</si>
  <si>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</si>
  <si>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</si>
  <si>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</si>
  <si>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</si>
  <si>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</si>
  <si>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</si>
  <si>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</si>
  <si>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</si>
  <si>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</si>
  <si>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</si>
  <si>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</si>
  <si>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</si>
  <si>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</si>
  <si>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</si>
  <si>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</si>
  <si>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</si>
  <si>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</si>
  <si>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</si>
  <si>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</si>
  <si>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</si>
  <si>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You work hard to build a better life. Your money should help you live it, not just keep you working for it.</t>
  </si>
  <si>
    <t xml:space="preserve">Financial Freedom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</si>
  <si>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</si>
  <si>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</si>
  <si>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</si>
  <si>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</si>
  <si>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</si>
  <si>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</si>
  <si>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</si>
  <si>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</si>
  <si>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</si>
  <si>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</si>
  <si>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</si>
  <si>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</si>
  <si>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</si>
  <si>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</si>
  <si>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</si>
  <si>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</si>
  <si>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</si>
  <si>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</si>
  <si>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</si>
  <si>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</si>
  <si>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</si>
  <si>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</si>
  <si>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</si>
  <si>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</si>
  <si>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Jörger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</si>
  <si>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</si>
  <si>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</si>
  <si>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</si>
  <si>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</si>
  <si>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</si>
  <si>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</si>
  <si>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</si>
  <si>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</si>
  <si>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</si>
  <si>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</si>
  <si>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</si>
  <si>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</si>
  <si>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</si>
  <si>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</si>
  <si>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</si>
  <si>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</si>
  <si>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</si>
  <si>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</si>
  <si>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</si>
  <si>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</si>
  <si>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</si>
  <si>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</si>
  <si>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</si>
  <si>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</si>
  <si>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</si>
  <si>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</si>
  <si>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</si>
  <si>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</si>
  <si>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</si>
  <si>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</si>
  <si>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</si>
  <si>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</si>
  <si>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</si>
  <si>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</si>
  <si>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</si>
  <si>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</si>
  <si>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</si>
  <si>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</si>
  <si>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</si>
  <si>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</si>
  <si>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</si>
  <si>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</si>
  <si>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</si>
  <si>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</si>
  <si>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</si>
  <si>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</si>
  <si>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</si>
  <si>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</si>
  <si>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</si>
  <si>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</si>
  <si>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</si>
  <si>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</si>
  <si>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</si>
  <si>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</si>
  <si>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</si>
  <si>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</si>
  <si>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</si>
  <si>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</si>
  <si>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</si>
  <si>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</si>
  <si>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</si>
  <si>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</si>
  <si>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</si>
  <si>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</si>
  <si>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</si>
  <si>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</si>
  <si>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</si>
  <si>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</si>
  <si>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</si>
  <si>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</si>
  <si>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</si>
  <si>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</si>
  <si>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</si>
  <si>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</si>
  <si>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</si>
  <si>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</si>
  <si>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</si>
  <si>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</si>
  <si>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</si>
  <si>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</si>
  <si>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</si>
  <si>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</si>
  <si>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</si>
  <si>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</si>
  <si>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</si>
  <si>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</si>
  <si>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</si>
  <si>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</si>
  <si>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</si>
  <si>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</si>
  <si>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</si>
  <si>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</si>
  <si>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</si>
  <si>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</si>
  <si>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</si>
  <si>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</si>
  <si>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</si>
  <si>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</si>
  <si>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</si>
  <si>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</si>
  <si>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</si>
  <si>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</si>
  <si>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</si>
  <si>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</si>
  <si>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</si>
  <si>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</si>
  <si>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</si>
  <si>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</si>
  <si>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</si>
  <si>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</si>
  <si>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</si>
  <si>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</si>
  <si>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</si>
  <si>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</si>
  <si>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</si>
  <si>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</si>
  <si>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</si>
  <si>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</si>
  <si>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</si>
  <si>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</si>
  <si>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</si>
  <si>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</si>
  <si>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</si>
  <si>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</si>
  <si>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</si>
  <si>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</si>
  <si>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</si>
  <si>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</si>
  <si>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</si>
  <si>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</si>
  <si>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</si>
  <si>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</si>
  <si>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</si>
  <si>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</si>
  <si>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</si>
  <si>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</si>
  <si>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</si>
  <si>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</si>
  <si>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</si>
  <si>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</si>
  <si>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</si>
  <si>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</si>
  <si>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</si>
  <si>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</si>
  <si>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</si>
  <si>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</si>
  <si>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</si>
  <si>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</si>
  <si>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</si>
  <si>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</si>
  <si>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</si>
  <si>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</si>
  <si>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</si>
  <si>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</si>
  <si>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</si>
  <si>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</si>
  <si>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</si>
  <si>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</si>
  <si>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</si>
  <si>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</si>
  <si>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</si>
  <si>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</si>
  <si>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</si>
  <si>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</si>
  <si>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</si>
  <si>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</si>
  <si>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</si>
  <si>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</si>
  <si>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</si>
  <si>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</si>
  <si>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</si>
  <si>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</si>
  <si>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</si>
  <si>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</si>
  <si>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</si>
  <si>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</si>
  <si>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</si>
  <si>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</si>
  <si>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</si>
  <si>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</si>
  <si>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</si>
  <si>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</si>
  <si>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</si>
  <si>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</si>
  <si>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</si>
  <si>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</si>
  <si>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</si>
  <si>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</si>
  <si>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</si>
  <si>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</si>
  <si>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</si>
  <si>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</si>
  <si>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</si>
  <si>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</si>
  <si>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</si>
  <si>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</si>
  <si>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</si>
  <si>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</si>
  <si>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</si>
  <si>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</si>
  <si>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</si>
  <si>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</si>
  <si>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</si>
  <si>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</si>
  <si>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</si>
  <si>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</si>
  <si>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</si>
  <si>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</si>
  <si>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money should help you live the life you work for, not just keep you working for it.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</si>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</sst>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b val="true"/>
      <sz val="10.5"/>
      <color rgb="FF134E4E"/>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E8F4F2"/>
        <bgColor rgb="FFF2F8F7"/>
      </patternFill>
    </fill>
    <fill>
      <patternFill patternType="solid">
        <fgColor rgb="FFF2F8F7"/>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0" borderId="0" xfId="0" applyFont="true" applyBorder="false" applyAlignment="true" applyProtection="false">
      <alignment horizontal="general" vertical="top" textRotation="0" wrapText="true" indent="1" shrinkToFit="false"/>
      <protection locked="true" hidden="false"/>
    </xf>
    <xf numFmtId="164" fontId="7" fillId="3" borderId="0" xfId="0" applyFont="true" applyBorder="false" applyAlignment="true" applyProtection="false">
      <alignment horizontal="general" vertical="top" textRotation="0" wrapText="true" indent="1" shrinkToFit="false"/>
      <protection locked="true" hidden="false"/>
    </xf>
    <xf numFmtId="164" fontId="8" fillId="0"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4" borderId="0" xfId="0" applyFont="true" applyBorder="false" applyAlignment="true" applyProtection="false">
      <alignment horizontal="general" vertical="top" textRotation="0" wrapText="true" indent="1" shrinkToFit="false"/>
      <protection locked="true" hidden="false"/>
    </xf>
    <xf numFmtId="164" fontId="11" fillId="3"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3"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3"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8" fontId="17" fillId="4" borderId="1" xfId="0" applyFont="true" applyBorder="true" applyAlignment="false" applyProtection="false">
      <alignment horizontal="general" vertical="bottom" textRotation="0" wrapText="false" indent="0" shrinkToFit="false"/>
      <protection locked="true" hidden="false"/>
    </xf>
    <xf numFmtId="165" fontId="17" fillId="4" borderId="1" xfId="0" applyFont="true" applyBorder="true" applyAlignment="false" applyProtection="false">
      <alignment horizontal="general" vertical="bottom" textRotation="0" wrapText="fals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3"/>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48.75" hidden="false" customHeight="true" outlineLevel="0" collapsed="false">
      <c r="B5" s="3" t="s">
        <v>2</v>
      </c>
    </row>
    <row r="6" customFormat="false" ht="33.75" hidden="false" customHeight="true" outlineLevel="0" collapsed="false">
      <c r="B6" s="4" t="s">
        <v>3</v>
      </c>
    </row>
    <row r="7" customFormat="false" ht="63.75" hidden="false" customHeight="true" outlineLevel="0" collapsed="false">
      <c r="B7" s="3" t="s">
        <v>4</v>
      </c>
    </row>
    <row r="8" customFormat="false" ht="33.75" hidden="false" customHeight="true" outlineLevel="0" collapsed="false">
      <c r="B8" s="3" t="s">
        <v>5</v>
      </c>
    </row>
    <row r="10" customFormat="false" ht="18.75" hidden="false" customHeight="true" outlineLevel="0" collapsed="false">
      <c r="B10" s="5" t="s">
        <v>6</v>
      </c>
    </row>
    <row r="11" customFormat="false" ht="18.75" hidden="false" customHeight="true" outlineLevel="0" collapsed="false">
      <c r="B11" s="3" t="s">
        <v>7</v>
      </c>
    </row>
    <row r="12" customFormat="false" ht="18.75" hidden="false" customHeight="true" outlineLevel="0" collapsed="false">
      <c r="B12" s="3" t="s">
        <v>8</v>
      </c>
    </row>
    <row r="13" customFormat="false" ht="18.75" hidden="false" customHeight="true" outlineLevel="0" collapsed="false">
      <c r="B13" s="3" t="s">
        <v>9</v>
      </c>
    </row>
    <row r="14" customFormat="false" ht="18.75" hidden="false" customHeight="true" outlineLevel="0" collapsed="false">
      <c r="B14" s="3" t="s">
        <v>10</v>
      </c>
    </row>
    <row r="15" customFormat="false" ht="18.75" hidden="false" customHeight="true" outlineLevel="0" collapsed="false">
      <c r="B15" s="3" t="s">
        <v>11</v>
      </c>
    </row>
    <row r="16" customFormat="false" ht="18.75" hidden="false" customHeight="true" outlineLevel="0" collapsed="false">
      <c r="B16" s="6" t="s">
        <v>12</v>
      </c>
    </row>
    <row r="18" customFormat="false" ht="18.75" hidden="false" customHeight="true" outlineLevel="0" collapsed="false">
      <c r="B18" s="5" t="s">
        <v>13</v>
      </c>
    </row>
    <row r="19" customFormat="false" ht="33.75" hidden="false" customHeight="true" outlineLevel="0" collapsed="false">
      <c r="B19" s="7" t="s">
        <v>14</v>
      </c>
    </row>
    <row r="20" customFormat="false" ht="18.75" hidden="false" customHeight="true" outlineLevel="0" collapsed="false">
      <c r="B20" s="3" t="s">
        <v>15</v>
      </c>
    </row>
    <row r="21" customFormat="false" ht="18.75" hidden="false" customHeight="true" outlineLevel="0" collapsed="false">
      <c r="B21" s="3" t="s">
        <v>16</v>
      </c>
    </row>
    <row r="22" customFormat="false" ht="18.75" hidden="false" customHeight="true" outlineLevel="0" collapsed="false">
      <c r="B22" s="3" t="s">
        <v>17</v>
      </c>
    </row>
    <row r="23" customFormat="false" ht="18.75" hidden="false" customHeight="true" outlineLevel="0" collapsed="false">
      <c r="B23" s="3" t="s">
        <v>18</v>
      </c>
    </row>
    <row r="24" customFormat="false" ht="18.75" hidden="false" customHeight="true" outlineLevel="0" collapsed="false">
      <c r="B24" s="3" t="s">
        <v>19</v>
      </c>
    </row>
    <row r="25" customFormat="false" ht="33.75" hidden="false" customHeight="true" outlineLevel="0" collapsed="false">
      <c r="B25" s="6" t="s">
        <v>20</v>
      </c>
    </row>
    <row r="27" customFormat="false" ht="18.75" hidden="false" customHeight="true" outlineLevel="0" collapsed="false">
      <c r="B27" s="5" t="s">
        <v>21</v>
      </c>
    </row>
    <row r="28" customFormat="false" ht="33.75" hidden="false" customHeight="true" outlineLevel="0" collapsed="false">
      <c r="B28" s="3" t="s">
        <v>22</v>
      </c>
    </row>
    <row r="30" customFormat="false" ht="33.75" hidden="false" customHeight="true" outlineLevel="0" collapsed="false">
      <c r="B30" s="8" t="s">
        <v>23</v>
      </c>
    </row>
    <row r="31" customFormat="false" ht="33.75" hidden="false" customHeight="true" outlineLevel="0" collapsed="false">
      <c r="B31" s="9" t="s">
        <v>24</v>
      </c>
    </row>
    <row r="33" customFormat="false" ht="33.75" hidden="false" customHeight="true" outlineLevel="0" collapsed="false">
      <c r="B33" s="10"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26</v>
      </c>
      <c r="C2" s="11"/>
    </row>
    <row r="3" customFormat="false" ht="31.5" hidden="false" customHeight="true" outlineLevel="0" collapsed="false">
      <c r="B3" s="12" t="s">
        <v>27</v>
      </c>
      <c r="C3" s="12"/>
    </row>
    <row r="5" customFormat="false" ht="15" hidden="false" customHeight="false" outlineLevel="0" collapsed="false">
      <c r="B5" s="13" t="s">
        <v>28</v>
      </c>
    </row>
    <row r="6" customFormat="false" ht="45" hidden="false" customHeight="true" outlineLevel="0" collapsed="false">
      <c r="B6" s="14" t="s">
        <v>29</v>
      </c>
      <c r="C6" s="15" t="s">
        <v>30</v>
      </c>
    </row>
    <row r="7" customFormat="false" ht="30" hidden="false" customHeight="true" outlineLevel="0" collapsed="false">
      <c r="B7" s="14" t="s">
        <v>31</v>
      </c>
      <c r="C7" s="15" t="s">
        <v>32</v>
      </c>
    </row>
    <row r="8" customFormat="false" ht="30" hidden="false" customHeight="true" outlineLevel="0" collapsed="false">
      <c r="B8" s="14" t="s">
        <v>33</v>
      </c>
      <c r="C8" s="15" t="s">
        <v>34</v>
      </c>
    </row>
    <row r="9" customFormat="false" ht="30" hidden="false" customHeight="true" outlineLevel="0" collapsed="false">
      <c r="B9" s="14" t="s">
        <v>35</v>
      </c>
      <c r="C9" s="15" t="s">
        <v>36</v>
      </c>
    </row>
    <row r="10" customFormat="false" ht="15" hidden="false" customHeight="false" outlineLevel="0" collapsed="false">
      <c r="B10" s="14"/>
      <c r="C10" s="15"/>
    </row>
    <row r="11" customFormat="false" ht="15" hidden="false" customHeight="false" outlineLevel="0" collapsed="false">
      <c r="B11" s="13" t="s">
        <v>37</v>
      </c>
    </row>
    <row r="12" customFormat="false" ht="30" hidden="false" customHeight="true" outlineLevel="0" collapsed="false">
      <c r="B12" s="14" t="s">
        <v>38</v>
      </c>
      <c r="C12" s="15" t="s">
        <v>39</v>
      </c>
    </row>
    <row r="13" customFormat="false" ht="30" hidden="false" customHeight="true" outlineLevel="0" collapsed="false">
      <c r="B13" s="14" t="s">
        <v>40</v>
      </c>
      <c r="C13" s="15" t="s">
        <v>41</v>
      </c>
    </row>
    <row r="14" customFormat="false" ht="15" hidden="false" customHeight="false" outlineLevel="0" collapsed="false">
      <c r="B14" s="14"/>
      <c r="C14" s="15"/>
    </row>
    <row r="15" customFormat="false" ht="15" hidden="false" customHeight="false" outlineLevel="0" collapsed="false">
      <c r="B15" s="13" t="s">
        <v>42</v>
      </c>
    </row>
    <row r="16" customFormat="false" ht="15" hidden="false" customHeight="false" outlineLevel="0" collapsed="false">
      <c r="B16" s="16" t="s">
        <v>43</v>
      </c>
      <c r="C16" s="15" t="s">
        <v>44</v>
      </c>
    </row>
    <row r="17" customFormat="false" ht="15" hidden="false" customHeight="false" outlineLevel="0" collapsed="false">
      <c r="B17" s="14" t="s">
        <v>45</v>
      </c>
      <c r="C17" s="15" t="s">
        <v>46</v>
      </c>
    </row>
    <row r="18" customFormat="false" ht="15" hidden="false" customHeight="false" outlineLevel="0" collapsed="false">
      <c r="B18" s="17" t="s">
        <v>47</v>
      </c>
      <c r="C18" s="15" t="s">
        <v>48</v>
      </c>
    </row>
    <row r="19" customFormat="false" ht="15" hidden="false" customHeight="false" outlineLevel="0" collapsed="false">
      <c r="B19" s="14"/>
      <c r="C19" s="15"/>
    </row>
    <row r="20" customFormat="false" ht="30" hidden="false" customHeight="true" outlineLevel="0" collapsed="false">
      <c r="B20" s="14"/>
      <c r="C20" s="15" t="s">
        <v>49</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50</v>
      </c>
      <c r="C2" s="11"/>
      <c r="D2" s="11"/>
      <c r="E2" s="11"/>
      <c r="F2" s="11"/>
    </row>
    <row r="3" customFormat="false" ht="31.5" hidden="false" customHeight="true" outlineLevel="0" collapsed="false">
      <c r="B3" s="12" t="s">
        <v>51</v>
      </c>
      <c r="C3" s="12"/>
      <c r="D3" s="12"/>
      <c r="E3" s="12"/>
      <c r="F3" s="12"/>
    </row>
    <row r="5" customFormat="false" ht="15" hidden="false" customHeight="false" outlineLevel="0" collapsed="false">
      <c r="B5" s="18" t="s">
        <v>52</v>
      </c>
    </row>
    <row r="6" customFormat="false" ht="30" hidden="false" customHeight="true" outlineLevel="0" collapsed="false">
      <c r="B6" s="19" t="s">
        <v>53</v>
      </c>
      <c r="C6" s="19" t="s">
        <v>54</v>
      </c>
      <c r="E6" s="19" t="s">
        <v>55</v>
      </c>
    </row>
    <row r="7" customFormat="false" ht="15" hidden="false" customHeight="false" outlineLevel="0" collapsed="false">
      <c r="B7" s="20" t="s">
        <v>56</v>
      </c>
      <c r="C7" s="20" t="s">
        <v>57</v>
      </c>
      <c r="E7" s="21" t="n">
        <v>2500</v>
      </c>
    </row>
    <row r="8" customFormat="false" ht="15" hidden="false" customHeight="false" outlineLevel="0" collapsed="false">
      <c r="B8" s="20" t="s">
        <v>58</v>
      </c>
      <c r="C8" s="20" t="s">
        <v>59</v>
      </c>
      <c r="E8" s="22" t="n">
        <f aca="false">'Income Streams'!G23</f>
        <v>60</v>
      </c>
    </row>
    <row r="9" customFormat="false" ht="15" hidden="false" customHeight="false" outlineLevel="0" collapsed="false">
      <c r="B9" s="20" t="s">
        <v>60</v>
      </c>
      <c r="C9" s="20" t="s">
        <v>61</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62</v>
      </c>
      <c r="E13" s="23" t="n">
        <f aca="false">SUM(E7:E12)</f>
        <v>2560</v>
      </c>
    </row>
    <row r="15" customFormat="false" ht="15" hidden="false" customHeight="false" outlineLevel="0" collapsed="false">
      <c r="B15" s="18" t="s">
        <v>63</v>
      </c>
    </row>
    <row r="16" customFormat="false" ht="30" hidden="false" customHeight="true" outlineLevel="0" collapsed="false">
      <c r="B16" s="19" t="s">
        <v>64</v>
      </c>
      <c r="C16" s="19" t="s">
        <v>65</v>
      </c>
      <c r="D16" s="19" t="s">
        <v>66</v>
      </c>
      <c r="E16" s="19" t="s">
        <v>55</v>
      </c>
      <c r="F16" s="19" t="s">
        <v>54</v>
      </c>
    </row>
    <row r="17" customFormat="false" ht="15" hidden="false" customHeight="false" outlineLevel="0" collapsed="false">
      <c r="B17" s="20" t="s">
        <v>67</v>
      </c>
      <c r="C17" s="20" t="s">
        <v>68</v>
      </c>
      <c r="D17" s="20" t="s">
        <v>69</v>
      </c>
      <c r="E17" s="21" t="n">
        <v>900</v>
      </c>
      <c r="F17" s="20" t="s">
        <v>70</v>
      </c>
    </row>
    <row r="18" customFormat="false" ht="15" hidden="false" customHeight="false" outlineLevel="0" collapsed="false">
      <c r="B18" s="20" t="s">
        <v>71</v>
      </c>
      <c r="C18" s="20" t="s">
        <v>72</v>
      </c>
      <c r="D18" s="20" t="s">
        <v>69</v>
      </c>
      <c r="E18" s="21" t="n">
        <v>140</v>
      </c>
      <c r="F18" s="20"/>
    </row>
    <row r="19" customFormat="false" ht="15" hidden="false" customHeight="false" outlineLevel="0" collapsed="false">
      <c r="B19" s="20" t="s">
        <v>73</v>
      </c>
      <c r="C19" s="20" t="s">
        <v>73</v>
      </c>
      <c r="D19" s="20" t="s">
        <v>69</v>
      </c>
      <c r="E19" s="21" t="n">
        <v>320</v>
      </c>
      <c r="F19" s="20"/>
    </row>
    <row r="20" customFormat="false" ht="15" hidden="false" customHeight="false" outlineLevel="0" collapsed="false">
      <c r="B20" s="20" t="s">
        <v>74</v>
      </c>
      <c r="C20" s="20" t="s">
        <v>75</v>
      </c>
      <c r="D20" s="20" t="s">
        <v>69</v>
      </c>
      <c r="E20" s="21" t="n">
        <v>90</v>
      </c>
      <c r="F20" s="20"/>
    </row>
    <row r="21" customFormat="false" ht="15" hidden="false" customHeight="false" outlineLevel="0" collapsed="false">
      <c r="B21" s="20" t="s">
        <v>76</v>
      </c>
      <c r="C21" s="20" t="s">
        <v>76</v>
      </c>
      <c r="D21" s="20" t="s">
        <v>69</v>
      </c>
      <c r="E21" s="21" t="n">
        <v>80</v>
      </c>
      <c r="F21" s="20"/>
    </row>
    <row r="22" customFormat="false" ht="15" hidden="false" customHeight="false" outlineLevel="0" collapsed="false">
      <c r="B22" s="20" t="s">
        <v>77</v>
      </c>
      <c r="C22" s="20" t="s">
        <v>78</v>
      </c>
      <c r="D22" s="20" t="s">
        <v>69</v>
      </c>
      <c r="E22" s="21" t="n">
        <v>150</v>
      </c>
      <c r="F22" s="20"/>
    </row>
    <row r="23" customFormat="false" ht="15" hidden="false" customHeight="false" outlineLevel="0" collapsed="false">
      <c r="B23" s="20" t="s">
        <v>79</v>
      </c>
      <c r="C23" s="20" t="s">
        <v>80</v>
      </c>
      <c r="D23" s="20" t="s">
        <v>69</v>
      </c>
      <c r="E23" s="21" t="n">
        <v>60</v>
      </c>
      <c r="F23" s="20"/>
    </row>
    <row r="24" customFormat="false" ht="15" hidden="false" customHeight="false" outlineLevel="0" collapsed="false">
      <c r="B24" s="20" t="s">
        <v>81</v>
      </c>
      <c r="C24" s="20" t="s">
        <v>82</v>
      </c>
      <c r="D24" s="20" t="s">
        <v>83</v>
      </c>
      <c r="E24" s="21" t="n">
        <v>45</v>
      </c>
      <c r="F24" s="20"/>
    </row>
    <row r="25" customFormat="false" ht="15" hidden="false" customHeight="false" outlineLevel="0" collapsed="false">
      <c r="B25" s="20" t="s">
        <v>84</v>
      </c>
      <c r="C25" s="20" t="s">
        <v>85</v>
      </c>
      <c r="D25" s="20" t="s">
        <v>83</v>
      </c>
      <c r="E25" s="21" t="n">
        <v>120</v>
      </c>
      <c r="F25" s="20"/>
    </row>
    <row r="26" customFormat="false" ht="15" hidden="false" customHeight="false" outlineLevel="0" collapsed="false">
      <c r="B26" s="20" t="s">
        <v>86</v>
      </c>
      <c r="C26" s="20" t="s">
        <v>87</v>
      </c>
      <c r="D26" s="20" t="s">
        <v>83</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88</v>
      </c>
      <c r="E58" s="23" t="n">
        <f aca="false">SUMIF(D17:D56,"Need",E17:E56)</f>
        <v>1740</v>
      </c>
    </row>
    <row r="59" customFormat="false" ht="15" hidden="false" customHeight="false" outlineLevel="0" collapsed="false">
      <c r="B59" s="14" t="s">
        <v>89</v>
      </c>
      <c r="E59" s="23" t="n">
        <f aca="false">SUMIF(D17:D56,"Want",E17:E56)</f>
        <v>265</v>
      </c>
    </row>
    <row r="60" customFormat="false" ht="15" hidden="false" customHeight="false" outlineLevel="0" collapsed="false">
      <c r="B60" s="24" t="s">
        <v>90</v>
      </c>
      <c r="E60" s="25" t="n">
        <f aca="false">SUMIF(C17:C56,"Caregiving",E17:E56)</f>
        <v>150</v>
      </c>
    </row>
    <row r="61" customFormat="false" ht="15" hidden="false" customHeight="false" outlineLevel="0" collapsed="false">
      <c r="B61" s="26" t="s">
        <v>91</v>
      </c>
      <c r="E61" s="27" t="n">
        <f aca="false">SUM(E17:E56)-E58-E59</f>
        <v>0</v>
      </c>
    </row>
    <row r="62" customFormat="false" ht="15" hidden="false" customHeight="false" outlineLevel="0" collapsed="false">
      <c r="B62" s="28" t="s">
        <v>92</v>
      </c>
      <c r="E62" s="29" t="n">
        <f aca="false">E13-E58-E59</f>
        <v>555</v>
      </c>
    </row>
    <row r="63" customFormat="false" ht="15" hidden="false" customHeight="false" outlineLevel="0" collapsed="false">
      <c r="B63" s="28" t="s">
        <v>93</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94</v>
      </c>
      <c r="C2" s="11"/>
      <c r="D2" s="11"/>
      <c r="E2" s="11"/>
      <c r="F2" s="11"/>
      <c r="G2" s="11"/>
    </row>
    <row r="3" customFormat="false" ht="31.5" hidden="false" customHeight="true" outlineLevel="0" collapsed="false">
      <c r="B3" s="12" t="s">
        <v>95</v>
      </c>
      <c r="C3" s="12"/>
      <c r="D3" s="12"/>
      <c r="E3" s="12"/>
      <c r="F3" s="12"/>
      <c r="G3" s="12"/>
    </row>
    <row r="5" customFormat="false" ht="30" hidden="false" customHeight="true" outlineLevel="0" collapsed="false">
      <c r="B5" s="19" t="s">
        <v>96</v>
      </c>
      <c r="C5" s="19" t="s">
        <v>97</v>
      </c>
      <c r="D5" s="19" t="s">
        <v>98</v>
      </c>
      <c r="E5" s="19" t="s">
        <v>99</v>
      </c>
      <c r="F5" s="19" t="s">
        <v>100</v>
      </c>
      <c r="G5" s="19" t="s">
        <v>101</v>
      </c>
    </row>
    <row r="6" customFormat="false" ht="15" hidden="false" customHeight="false" outlineLevel="0" collapsed="false">
      <c r="B6" s="20" t="s">
        <v>102</v>
      </c>
      <c r="C6" s="21" t="n">
        <v>13</v>
      </c>
      <c r="D6" s="20" t="s">
        <v>103</v>
      </c>
      <c r="E6" s="21" t="n">
        <v>0</v>
      </c>
      <c r="F6" s="31" t="n">
        <f aca="false">IF(OR(C6="",D6="",D6="Keep"),0,MAX(0,C6-N(E6)))</f>
        <v>13</v>
      </c>
      <c r="G6" s="20" t="s">
        <v>104</v>
      </c>
    </row>
    <row r="7" customFormat="false" ht="15" hidden="false" customHeight="false" outlineLevel="0" collapsed="false">
      <c r="B7" s="20" t="s">
        <v>105</v>
      </c>
      <c r="C7" s="21" t="n">
        <v>35</v>
      </c>
      <c r="D7" s="20" t="s">
        <v>106</v>
      </c>
      <c r="E7" s="21" t="n">
        <v>15</v>
      </c>
      <c r="F7" s="31" t="n">
        <f aca="false">IF(OR(C7="",D7="",D7="Keep"),0,MAX(0,C7-N(E7)))</f>
        <v>20</v>
      </c>
      <c r="G7" s="20" t="s">
        <v>107</v>
      </c>
    </row>
    <row r="8" customFormat="false" ht="15" hidden="false" customHeight="false" outlineLevel="0" collapsed="false">
      <c r="B8" s="20" t="s">
        <v>108</v>
      </c>
      <c r="C8" s="21" t="n">
        <v>40</v>
      </c>
      <c r="D8" s="20" t="s">
        <v>109</v>
      </c>
      <c r="E8" s="21" t="n">
        <v>25</v>
      </c>
      <c r="F8" s="31" t="n">
        <f aca="false">IF(OR(C8="",D8="",D8="Keep"),0,MAX(0,C8-N(E8)))</f>
        <v>15</v>
      </c>
      <c r="G8" s="20" t="s">
        <v>110</v>
      </c>
    </row>
    <row r="9" customFormat="false" ht="15" hidden="false" customHeight="false" outlineLevel="0" collapsed="false">
      <c r="B9" s="20" t="s">
        <v>111</v>
      </c>
      <c r="C9" s="21" t="n">
        <v>3</v>
      </c>
      <c r="D9" s="20" t="s">
        <v>112</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113</v>
      </c>
      <c r="F32" s="29" t="n">
        <f aca="false">SUM(F6:F30)</f>
        <v>48</v>
      </c>
    </row>
    <row r="33" customFormat="false" ht="15" hidden="false" customHeight="false" outlineLevel="0" collapsed="false">
      <c r="B33" s="14" t="s">
        <v>114</v>
      </c>
      <c r="F33" s="29" t="n">
        <f aca="false">F32*12</f>
        <v>576</v>
      </c>
    </row>
    <row r="35" customFormat="false" ht="30" hidden="false" customHeight="true" outlineLevel="0" collapsed="false">
      <c r="B35" s="32" t="s">
        <v>115</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116</v>
      </c>
      <c r="C2" s="11"/>
      <c r="D2" s="11"/>
      <c r="E2" s="11"/>
      <c r="F2" s="11"/>
      <c r="G2" s="11"/>
      <c r="H2" s="11"/>
      <c r="I2" s="11"/>
    </row>
    <row r="3" customFormat="false" ht="31.5" hidden="false" customHeight="true" outlineLevel="0" collapsed="false">
      <c r="B3" s="12" t="s">
        <v>117</v>
      </c>
      <c r="C3" s="12"/>
      <c r="D3" s="12"/>
      <c r="E3" s="12"/>
      <c r="F3" s="12"/>
      <c r="G3" s="12"/>
      <c r="H3" s="12"/>
      <c r="I3" s="12"/>
    </row>
    <row r="5" customFormat="false" ht="30" hidden="false" customHeight="true" outlineLevel="0" collapsed="false">
      <c r="B5" s="19" t="s">
        <v>118</v>
      </c>
      <c r="C5" s="19" t="s">
        <v>119</v>
      </c>
      <c r="D5" s="19" t="s">
        <v>120</v>
      </c>
      <c r="E5" s="19" t="s">
        <v>121</v>
      </c>
      <c r="F5" s="19" t="s">
        <v>122</v>
      </c>
      <c r="G5" s="19" t="s">
        <v>123</v>
      </c>
      <c r="H5" s="19" t="s">
        <v>124</v>
      </c>
      <c r="I5" s="19" t="s">
        <v>125</v>
      </c>
    </row>
    <row r="6" customFormat="false" ht="15" hidden="false" customHeight="false" outlineLevel="0" collapsed="false">
      <c r="B6" s="20" t="s">
        <v>126</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127</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128</v>
      </c>
      <c r="C17" s="37" t="n">
        <f aca="false">SUM(C6:C15)</f>
        <v>1500</v>
      </c>
      <c r="D17" s="32" t="s">
        <v>129</v>
      </c>
      <c r="E17" s="32"/>
      <c r="F17" s="32"/>
      <c r="G17" s="32"/>
      <c r="H17" s="32"/>
      <c r="I17" s="32"/>
    </row>
    <row r="18" customFormat="false" ht="15" hidden="false" customHeight="false" outlineLevel="0" collapsed="false">
      <c r="B18" s="14" t="s">
        <v>130</v>
      </c>
      <c r="C18" s="38" t="n">
        <f aca="false">SUM(G6:G15)</f>
        <v>24.875</v>
      </c>
      <c r="D18" s="32"/>
      <c r="E18" s="32"/>
      <c r="F18" s="32"/>
      <c r="G18" s="32"/>
      <c r="H18" s="32"/>
      <c r="I18" s="32"/>
    </row>
    <row r="19" customFormat="false" ht="15" hidden="false" customHeight="false" outlineLevel="0" collapsed="false">
      <c r="B19" s="14" t="s">
        <v>131</v>
      </c>
      <c r="C19" s="37" t="n">
        <f aca="false">C18*12</f>
        <v>298.5</v>
      </c>
      <c r="D19" s="32"/>
      <c r="E19" s="32"/>
      <c r="F19" s="32"/>
      <c r="G19" s="32"/>
      <c r="H19" s="32"/>
      <c r="I19" s="32"/>
    </row>
    <row r="22" customFormat="false" ht="15" hidden="false" customHeight="false" outlineLevel="0" collapsed="false">
      <c r="B22" s="18" t="s">
        <v>132</v>
      </c>
    </row>
    <row r="23" customFormat="false" ht="30" hidden="false" customHeight="true" outlineLevel="0" collapsed="false">
      <c r="B23" s="19" t="s">
        <v>133</v>
      </c>
      <c r="C23" s="19" t="s">
        <v>134</v>
      </c>
    </row>
    <row r="24" customFormat="false" ht="15" hidden="false" customHeight="true" outlineLevel="0" collapsed="false">
      <c r="B24" s="15" t="s">
        <v>135</v>
      </c>
      <c r="C24" s="39" t="n">
        <f aca="false">'T · Track'!E7</f>
        <v>2500</v>
      </c>
      <c r="D24" s="32" t="s">
        <v>136</v>
      </c>
      <c r="E24" s="32"/>
      <c r="F24" s="32"/>
      <c r="G24" s="32"/>
      <c r="H24" s="32"/>
      <c r="I24" s="32"/>
    </row>
    <row r="25" customFormat="false" ht="15" hidden="false" customHeight="false" outlineLevel="0" collapsed="false">
      <c r="B25" s="15" t="s">
        <v>137</v>
      </c>
      <c r="C25" s="40" t="n">
        <v>39</v>
      </c>
      <c r="D25" s="32"/>
      <c r="E25" s="32"/>
      <c r="F25" s="32"/>
      <c r="G25" s="32"/>
      <c r="H25" s="32"/>
      <c r="I25" s="32"/>
    </row>
    <row r="26" customFormat="false" ht="15" hidden="false" customHeight="false" outlineLevel="0" collapsed="false">
      <c r="B26" s="15" t="s">
        <v>138</v>
      </c>
      <c r="C26" s="40" t="n">
        <v>4</v>
      </c>
      <c r="D26" s="32"/>
      <c r="E26" s="32"/>
      <c r="F26" s="32"/>
      <c r="G26" s="32"/>
      <c r="H26" s="32"/>
      <c r="I26" s="32"/>
    </row>
    <row r="27" customFormat="false" ht="15" hidden="false" customHeight="false" outlineLevel="0" collapsed="false">
      <c r="B27" s="15" t="s">
        <v>139</v>
      </c>
      <c r="C27" s="40" t="n">
        <v>5</v>
      </c>
      <c r="D27" s="32"/>
      <c r="E27" s="32"/>
      <c r="F27" s="32"/>
      <c r="G27" s="32"/>
      <c r="H27" s="32"/>
      <c r="I27" s="32"/>
    </row>
    <row r="28" customFormat="false" ht="15" hidden="false" customHeight="false" outlineLevel="0" collapsed="false">
      <c r="B28" s="41" t="s">
        <v>140</v>
      </c>
      <c r="C28" s="42" t="n">
        <f aca="false">(N(C25)+N(C26)+N(C27))*52/12</f>
        <v>208</v>
      </c>
      <c r="D28" s="32"/>
      <c r="E28" s="32"/>
      <c r="F28" s="32"/>
      <c r="G28" s="32"/>
      <c r="H28" s="32"/>
      <c r="I28" s="32"/>
    </row>
    <row r="29" customFormat="false" ht="15" hidden="false" customHeight="true" outlineLevel="0" collapsed="false">
      <c r="B29" s="28" t="s">
        <v>141</v>
      </c>
      <c r="C29" s="43" t="n">
        <f aca="false">IF(C28&gt;0,C24/C28,0)</f>
        <v>12.0192307692308</v>
      </c>
      <c r="D29" s="32" t="s">
        <v>142</v>
      </c>
      <c r="E29" s="32"/>
      <c r="F29" s="32"/>
      <c r="G29" s="32"/>
      <c r="H29" s="32"/>
      <c r="I29" s="32"/>
    </row>
    <row r="30" customFormat="false" ht="15" hidden="false" customHeight="false" outlineLevel="0" collapsed="false">
      <c r="B30" s="15" t="s">
        <v>143</v>
      </c>
      <c r="C30" s="44" t="n">
        <v>21</v>
      </c>
      <c r="D30" s="32"/>
      <c r="E30" s="32"/>
      <c r="F30" s="32"/>
      <c r="G30" s="32"/>
      <c r="H30" s="32"/>
      <c r="I30" s="32"/>
    </row>
    <row r="31" customFormat="false" ht="15" hidden="false" customHeight="false" outlineLevel="0" collapsed="false">
      <c r="B31" s="28" t="s">
        <v>144</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145</v>
      </c>
      <c r="C2" s="11"/>
      <c r="D2" s="11"/>
      <c r="E2" s="11"/>
      <c r="F2" s="11"/>
      <c r="G2" s="11"/>
    </row>
    <row r="3" customFormat="false" ht="31.5" hidden="false" customHeight="true" outlineLevel="0" collapsed="false">
      <c r="B3" s="12" t="s">
        <v>146</v>
      </c>
      <c r="C3" s="12"/>
      <c r="D3" s="12"/>
      <c r="E3" s="12"/>
      <c r="F3" s="12"/>
      <c r="G3" s="12"/>
    </row>
    <row r="5" customFormat="false" ht="15" hidden="false" customHeight="false" outlineLevel="0" collapsed="false">
      <c r="B5" s="18" t="s">
        <v>147</v>
      </c>
    </row>
    <row r="6" customFormat="false" ht="30" hidden="false" customHeight="true" outlineLevel="0" collapsed="false">
      <c r="B6" s="19" t="s">
        <v>133</v>
      </c>
      <c r="C6" s="19" t="s">
        <v>134</v>
      </c>
    </row>
    <row r="7" customFormat="false" ht="15" hidden="false" customHeight="true" outlineLevel="0" collapsed="false">
      <c r="B7" s="15" t="s">
        <v>148</v>
      </c>
      <c r="C7" s="39" t="n">
        <f aca="false">'T · Track'!E58</f>
        <v>1740</v>
      </c>
      <c r="D7" s="32" t="s">
        <v>149</v>
      </c>
      <c r="E7" s="32"/>
      <c r="F7" s="32"/>
      <c r="G7" s="32"/>
    </row>
    <row r="8" customFormat="false" ht="15" hidden="false" customHeight="false" outlineLevel="0" collapsed="false">
      <c r="B8" s="15" t="s">
        <v>150</v>
      </c>
      <c r="C8" s="44" t="n">
        <v>3</v>
      </c>
      <c r="D8" s="32"/>
      <c r="E8" s="32"/>
      <c r="F8" s="32"/>
      <c r="G8" s="32"/>
    </row>
    <row r="9" customFormat="false" ht="15" hidden="false" customHeight="false" outlineLevel="0" collapsed="false">
      <c r="B9" s="41" t="s">
        <v>151</v>
      </c>
      <c r="C9" s="45" t="n">
        <f aca="false">C7</f>
        <v>1740</v>
      </c>
      <c r="D9" s="32"/>
      <c r="E9" s="32"/>
      <c r="F9" s="32"/>
      <c r="G9" s="32"/>
    </row>
    <row r="10" customFormat="false" ht="15" hidden="false" customHeight="false" outlineLevel="0" collapsed="false">
      <c r="B10" s="41" t="s">
        <v>152</v>
      </c>
      <c r="C10" s="23" t="n">
        <f aca="false">C7*N(C8)</f>
        <v>5220</v>
      </c>
      <c r="D10" s="32"/>
      <c r="E10" s="32"/>
      <c r="F10" s="32"/>
      <c r="G10" s="32"/>
    </row>
    <row r="11" customFormat="false" ht="15" hidden="false" customHeight="false" outlineLevel="0" collapsed="false">
      <c r="B11" s="15" t="s">
        <v>153</v>
      </c>
      <c r="C11" s="21" t="n">
        <v>1200</v>
      </c>
    </row>
    <row r="12" customFormat="false" ht="15" hidden="false" customHeight="false" outlineLevel="0" collapsed="false">
      <c r="B12" s="28" t="s">
        <v>154</v>
      </c>
      <c r="C12" s="30" t="n">
        <f aca="false">IF(C10&gt;0,MIN(1,N(C11)/C10),0)</f>
        <v>0.229885057471264</v>
      </c>
    </row>
    <row r="13" customFormat="false" ht="15" hidden="false" customHeight="false" outlineLevel="0" collapsed="false">
      <c r="B13" s="15" t="s">
        <v>155</v>
      </c>
      <c r="C13" s="21" t="n">
        <v>250</v>
      </c>
    </row>
    <row r="14" customFormat="false" ht="15" hidden="false" customHeight="false" outlineLevel="0" collapsed="false">
      <c r="B14" s="41" t="s">
        <v>156</v>
      </c>
      <c r="C14" s="35" t="n">
        <f aca="false">IF(N(C11)&gt;=C10,"Done ✓",IF(N(C13)&gt;0,ROUNDUP((C10-N(C11))/C13,0),"Add a transfer"))</f>
        <v>17</v>
      </c>
    </row>
    <row r="17" customFormat="false" ht="15" hidden="false" customHeight="false" outlineLevel="0" collapsed="false">
      <c r="B17" s="18" t="s">
        <v>157</v>
      </c>
    </row>
    <row r="18" customFormat="false" ht="30" hidden="false" customHeight="true" outlineLevel="0" collapsed="false">
      <c r="B18" s="19" t="s">
        <v>158</v>
      </c>
      <c r="C18" s="19" t="s">
        <v>159</v>
      </c>
      <c r="D18" s="19" t="s">
        <v>160</v>
      </c>
      <c r="E18" s="19" t="s">
        <v>55</v>
      </c>
      <c r="F18" s="19" t="s">
        <v>161</v>
      </c>
      <c r="G18" s="19" t="s">
        <v>154</v>
      </c>
    </row>
    <row r="19" customFormat="false" ht="15" hidden="false" customHeight="false" outlineLevel="0" collapsed="false">
      <c r="B19" s="20" t="s">
        <v>162</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163</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164</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165</v>
      </c>
      <c r="E30" s="23" t="n">
        <f aca="false">SUM(E19:E28)</f>
        <v>225</v>
      </c>
    </row>
    <row r="31" customFormat="false" ht="15" hidden="false" customHeight="false" outlineLevel="0" collapsed="false">
      <c r="B31" s="28" t="s">
        <v>166</v>
      </c>
      <c r="E31" s="29" t="n">
        <f aca="false">N(C13)+E30</f>
        <v>475</v>
      </c>
    </row>
    <row r="32" customFormat="false" ht="15" hidden="false" customHeight="false" outlineLevel="0" collapsed="false">
      <c r="B32" s="14" t="s">
        <v>167</v>
      </c>
      <c r="E32" s="23" t="n">
        <f aca="false">'T · Track'!E62-E31</f>
        <v>80</v>
      </c>
    </row>
    <row r="33" customFormat="false" ht="15" hidden="false" customHeight="true" outlineLevel="0" collapsed="false">
      <c r="B33" s="32" t="s">
        <v>168</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169</v>
      </c>
      <c r="C2" s="11"/>
      <c r="D2" s="11"/>
      <c r="E2" s="11"/>
    </row>
    <row r="3" customFormat="false" ht="31.5" hidden="false" customHeight="true" outlineLevel="0" collapsed="false">
      <c r="B3" s="12" t="s">
        <v>170</v>
      </c>
      <c r="C3" s="12"/>
      <c r="D3" s="12"/>
      <c r="E3" s="12"/>
    </row>
    <row r="5" customFormat="false" ht="30" hidden="false" customHeight="true" outlineLevel="0" collapsed="false">
      <c r="B5" s="19" t="s">
        <v>171</v>
      </c>
      <c r="C5" s="19" t="s">
        <v>172</v>
      </c>
      <c r="D5" s="19" t="s">
        <v>173</v>
      </c>
      <c r="E5" s="19" t="s">
        <v>174</v>
      </c>
    </row>
    <row r="6" customFormat="false" ht="15" hidden="false" customHeight="false" outlineLevel="0" collapsed="false">
      <c r="B6" s="20" t="s">
        <v>175</v>
      </c>
      <c r="C6" s="40" t="n">
        <v>49</v>
      </c>
      <c r="D6" s="40" t="n">
        <v>52</v>
      </c>
      <c r="E6" s="20" t="s">
        <v>176</v>
      </c>
    </row>
    <row r="7" customFormat="false" ht="15" hidden="false" customHeight="false" outlineLevel="0" collapsed="false">
      <c r="B7" s="20" t="s">
        <v>177</v>
      </c>
      <c r="C7" s="40" t="n">
        <v>43</v>
      </c>
      <c r="D7" s="40" t="n">
        <v>40</v>
      </c>
      <c r="E7" s="20" t="s">
        <v>178</v>
      </c>
    </row>
    <row r="8" customFormat="false" ht="15" hidden="false" customHeight="false" outlineLevel="0" collapsed="false">
      <c r="B8" s="20" t="s">
        <v>179</v>
      </c>
      <c r="C8" s="40" t="n">
        <v>5</v>
      </c>
      <c r="D8" s="40" t="n">
        <v>5</v>
      </c>
      <c r="E8" s="20"/>
    </row>
    <row r="9" customFormat="false" ht="15" hidden="false" customHeight="false" outlineLevel="0" collapsed="false">
      <c r="B9" s="20" t="s">
        <v>78</v>
      </c>
      <c r="C9" s="40" t="n">
        <v>10</v>
      </c>
      <c r="D9" s="40" t="n">
        <v>10</v>
      </c>
      <c r="E9" s="20" t="s">
        <v>180</v>
      </c>
    </row>
    <row r="10" customFormat="false" ht="15" hidden="false" customHeight="false" outlineLevel="0" collapsed="false">
      <c r="B10" s="20" t="s">
        <v>181</v>
      </c>
      <c r="C10" s="40" t="n">
        <v>10</v>
      </c>
      <c r="D10" s="40" t="n">
        <v>8</v>
      </c>
      <c r="E10" s="20" t="s">
        <v>182</v>
      </c>
    </row>
    <row r="11" customFormat="false" ht="15" hidden="false" customHeight="false" outlineLevel="0" collapsed="false">
      <c r="B11" s="20" t="s">
        <v>183</v>
      </c>
      <c r="C11" s="40" t="n">
        <v>12</v>
      </c>
      <c r="D11" s="40" t="n">
        <v>16</v>
      </c>
      <c r="E11" s="20" t="s">
        <v>184</v>
      </c>
    </row>
    <row r="12" customFormat="false" ht="15" hidden="false" customHeight="false" outlineLevel="0" collapsed="false">
      <c r="B12" s="20" t="s">
        <v>185</v>
      </c>
      <c r="C12" s="40" t="n">
        <v>3</v>
      </c>
      <c r="D12" s="40" t="n">
        <v>4</v>
      </c>
      <c r="E12" s="20" t="s">
        <v>186</v>
      </c>
    </row>
    <row r="13" customFormat="false" ht="15" hidden="false" customHeight="false" outlineLevel="0" collapsed="false">
      <c r="B13" s="20" t="s">
        <v>187</v>
      </c>
      <c r="C13" s="40" t="n">
        <v>3</v>
      </c>
      <c r="D13" s="40" t="n">
        <v>4</v>
      </c>
      <c r="E13" s="20" t="s">
        <v>188</v>
      </c>
    </row>
    <row r="14" customFormat="false" ht="15" hidden="false" customHeight="false" outlineLevel="0" collapsed="false">
      <c r="B14" s="20" t="s">
        <v>189</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190</v>
      </c>
      <c r="C19" s="47" t="n">
        <f aca="false">SUM(C6:C17)</f>
        <v>145</v>
      </c>
      <c r="D19" s="47" t="n">
        <f aca="false">SUM(D6:D17)</f>
        <v>149</v>
      </c>
    </row>
    <row r="20" customFormat="false" ht="15" hidden="false" customHeight="false" outlineLevel="0" collapsed="false">
      <c r="B20" s="28" t="s">
        <v>191</v>
      </c>
      <c r="C20" s="48" t="n">
        <f aca="false">168-C19</f>
        <v>23</v>
      </c>
      <c r="D20" s="48" t="n">
        <f aca="false">168-D19</f>
        <v>19</v>
      </c>
    </row>
    <row r="22" customFormat="false" ht="15" hidden="false" customHeight="false" outlineLevel="0" collapsed="false">
      <c r="B22" s="17" t="s">
        <v>192</v>
      </c>
      <c r="C22" s="49" t="n">
        <f aca="false">SUMIF(B6:B17,"Family*",D6:D17)-SUMIF(B6:B17,"Family*",C6:C17)</f>
        <v>4</v>
      </c>
    </row>
    <row r="23" customFormat="false" ht="15" hidden="false" customHeight="false" outlineLevel="0" collapsed="false">
      <c r="B23" s="17" t="s">
        <v>193</v>
      </c>
      <c r="C23" s="50" t="n">
        <f aca="false">C22*52</f>
        <v>208</v>
      </c>
    </row>
    <row r="25" customFormat="false" ht="24" hidden="false" customHeight="true" outlineLevel="0" collapsed="false">
      <c r="B25" s="32" t="s">
        <v>194</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195</v>
      </c>
      <c r="C28" s="51" t="n">
        <f aca="false">'U · Understand'!C29</f>
        <v>12.0192307692308</v>
      </c>
      <c r="D28" s="32" t="s">
        <v>196</v>
      </c>
      <c r="E28" s="32"/>
    </row>
    <row r="29" customFormat="false" ht="23.85" hidden="false" customHeight="false" outlineLevel="0" collapsed="false">
      <c r="B29" s="41" t="s">
        <v>197</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198</v>
      </c>
      <c r="C2" s="11"/>
      <c r="D2" s="11"/>
      <c r="E2" s="11"/>
      <c r="F2" s="11"/>
      <c r="G2" s="11"/>
      <c r="H2" s="11"/>
      <c r="I2" s="11"/>
    </row>
    <row r="3" customFormat="false" ht="31.5" hidden="false" customHeight="true" outlineLevel="0" collapsed="false">
      <c r="B3" s="12" t="s">
        <v>199</v>
      </c>
      <c r="C3" s="12"/>
      <c r="D3" s="12"/>
      <c r="E3" s="12"/>
      <c r="F3" s="12"/>
      <c r="G3" s="12"/>
      <c r="H3" s="12"/>
      <c r="I3" s="12"/>
    </row>
    <row r="5" customFormat="false" ht="30" hidden="false" customHeight="true" outlineLevel="0" collapsed="false">
      <c r="B5" s="19" t="s">
        <v>200</v>
      </c>
      <c r="C5" s="19" t="s">
        <v>201</v>
      </c>
      <c r="D5" s="19" t="s">
        <v>202</v>
      </c>
      <c r="E5" s="19" t="s">
        <v>203</v>
      </c>
      <c r="F5" s="19" t="s">
        <v>204</v>
      </c>
      <c r="G5" s="19" t="s">
        <v>205</v>
      </c>
      <c r="H5" s="19" t="s">
        <v>206</v>
      </c>
      <c r="I5" s="19" t="s">
        <v>207</v>
      </c>
    </row>
    <row r="6" customFormat="false" ht="15" hidden="false" customHeight="false" outlineLevel="0" collapsed="false">
      <c r="B6" s="20" t="s">
        <v>208</v>
      </c>
      <c r="C6" s="20" t="s">
        <v>209</v>
      </c>
      <c r="D6" s="20" t="s">
        <v>210</v>
      </c>
      <c r="E6" s="40" t="n">
        <v>0</v>
      </c>
      <c r="F6" s="20" t="s">
        <v>211</v>
      </c>
      <c r="G6" s="21" t="n">
        <v>150</v>
      </c>
      <c r="H6" s="52" t="str">
        <f aca="false">IF(N(E6)&gt;0,N(G6)/(E6*52/12),IF(N(G6)&gt;0,"no time logged",""))</f>
        <v>no time logged</v>
      </c>
      <c r="I6" s="20" t="s">
        <v>212</v>
      </c>
    </row>
    <row r="7" customFormat="false" ht="15" hidden="false" customHeight="false" outlineLevel="0" collapsed="false">
      <c r="B7" s="20" t="s">
        <v>213</v>
      </c>
      <c r="C7" s="20" t="s">
        <v>214</v>
      </c>
      <c r="D7" s="20" t="s">
        <v>215</v>
      </c>
      <c r="E7" s="40" t="n">
        <v>3</v>
      </c>
      <c r="F7" s="20" t="s">
        <v>216</v>
      </c>
      <c r="G7" s="21" t="n">
        <v>60</v>
      </c>
      <c r="H7" s="52" t="n">
        <f aca="false">IF(N(E7)&gt;0,N(G7)/(E7*52/12),IF(N(G7)&gt;0,"no time logged",""))</f>
        <v>4.61538461538462</v>
      </c>
      <c r="I7" s="20" t="s">
        <v>217</v>
      </c>
    </row>
    <row r="8" customFormat="false" ht="15" hidden="false" customHeight="false" outlineLevel="0" collapsed="false">
      <c r="B8" s="20" t="s">
        <v>218</v>
      </c>
      <c r="C8" s="20" t="s">
        <v>219</v>
      </c>
      <c r="D8" s="20" t="s">
        <v>220</v>
      </c>
      <c r="E8" s="40" t="n">
        <v>0</v>
      </c>
      <c r="F8" s="20"/>
      <c r="G8" s="21" t="n">
        <v>0</v>
      </c>
      <c r="H8" s="52" t="str">
        <f aca="false">IF(N(E8)&gt;0,N(G8)/(E8*52/12),IF(N(G8)&gt;0,"no time logged",""))</f>
        <v/>
      </c>
      <c r="I8" s="20" t="s">
        <v>221</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222</v>
      </c>
      <c r="G23" s="29" t="n">
        <f aca="false">SUMIF(C6:C21,"&lt;&gt;Career (raise/promotion)",G6:G21)</f>
        <v>60</v>
      </c>
    </row>
    <row r="24" customFormat="false" ht="15" hidden="false" customHeight="false" outlineLevel="0" collapsed="false">
      <c r="B24" s="41" t="s">
        <v>223</v>
      </c>
      <c r="G24" s="23" t="n">
        <f aca="false">SUMIF(C6:C21,"Career (raise/promotion)",G6:G21)</f>
        <v>150</v>
      </c>
    </row>
    <row r="25" customFormat="false" ht="15" hidden="false" customHeight="false" outlineLevel="0" collapsed="false">
      <c r="B25" s="41" t="s">
        <v>224</v>
      </c>
      <c r="E25" s="53" t="n">
        <f aca="false">SUM(E6:E21)</f>
        <v>3</v>
      </c>
    </row>
    <row r="26" customFormat="false" ht="23.85" hidden="false" customHeight="false" outlineLevel="0" collapsed="false">
      <c r="B26" s="17" t="s">
        <v>225</v>
      </c>
      <c r="G26" s="54" t="n">
        <f aca="false">IF('T · Track'!E58&gt;0,G23/'T · Track'!E58,0)</f>
        <v>0.0344827586206897</v>
      </c>
    </row>
    <row r="28" customFormat="false" ht="15" hidden="false" customHeight="true" outlineLevel="0" collapsed="false">
      <c r="B28" s="32" t="s">
        <v>226</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227</v>
      </c>
      <c r="C2" s="11"/>
      <c r="D2" s="11"/>
      <c r="E2" s="11"/>
      <c r="F2" s="11"/>
    </row>
    <row r="3" customFormat="false" ht="31.5" hidden="false" customHeight="true" outlineLevel="0" collapsed="false">
      <c r="B3" s="12" t="s">
        <v>228</v>
      </c>
      <c r="C3" s="12"/>
      <c r="D3" s="12"/>
      <c r="E3" s="12"/>
      <c r="F3" s="12"/>
    </row>
    <row r="5" customFormat="false" ht="15" hidden="false" customHeight="false" outlineLevel="0" collapsed="false">
      <c r="B5" s="13" t="s">
        <v>229</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230</v>
      </c>
      <c r="C9" s="57" t="n">
        <f aca="false">IF(C14&lt;0,0,IF(C22&lt;C13,1,IF(C20&gt;0,2,IF(C22&lt;C23,3,IF(C25&lt;0.25*C13,4,IF(C25&lt;C13,5,6))))))</f>
        <v>1</v>
      </c>
    </row>
    <row r="11" customFormat="false" ht="15" hidden="false" customHeight="false" outlineLevel="0" collapsed="false">
      <c r="B11" s="18" t="s">
        <v>231</v>
      </c>
      <c r="E11" s="18" t="s">
        <v>232</v>
      </c>
    </row>
    <row r="12" customFormat="false" ht="15" hidden="false" customHeight="false" outlineLevel="0" collapsed="false">
      <c r="B12" s="15" t="s">
        <v>233</v>
      </c>
      <c r="C12" s="58" t="n">
        <f aca="false">'T · Track'!E13</f>
        <v>2560</v>
      </c>
      <c r="E12" s="15" t="s">
        <v>234</v>
      </c>
      <c r="F12" s="59" t="n">
        <f aca="false">'U · Understand'!C29</f>
        <v>12.0192307692308</v>
      </c>
    </row>
    <row r="13" customFormat="false" ht="15" hidden="false" customHeight="false" outlineLevel="0" collapsed="false">
      <c r="B13" s="15" t="s">
        <v>235</v>
      </c>
      <c r="C13" s="60" t="n">
        <f aca="false">'T · Track'!E58</f>
        <v>1740</v>
      </c>
      <c r="E13" s="15" t="s">
        <v>144</v>
      </c>
      <c r="F13" s="61" t="n">
        <f aca="false">'U · Understand'!C31</f>
        <v>252.403846153846</v>
      </c>
    </row>
    <row r="14" customFormat="false" ht="15" hidden="false" customHeight="false" outlineLevel="0" collapsed="false">
      <c r="B14" s="15" t="s">
        <v>236</v>
      </c>
      <c r="C14" s="61" t="n">
        <f aca="false">'T · Track'!E62</f>
        <v>555</v>
      </c>
      <c r="E14" s="15" t="s">
        <v>237</v>
      </c>
      <c r="F14" s="62" t="n">
        <f aca="false">'Income Streams'!E25</f>
        <v>3</v>
      </c>
    </row>
    <row r="15" customFormat="false" ht="15" hidden="false" customHeight="false" outlineLevel="0" collapsed="false">
      <c r="B15" s="15" t="s">
        <v>93</v>
      </c>
      <c r="C15" s="63" t="n">
        <f aca="false">'T · Track'!E63</f>
        <v>0.216796875</v>
      </c>
      <c r="E15" s="15" t="s">
        <v>238</v>
      </c>
      <c r="F15" s="64" t="n">
        <f aca="false">'Income Streams'!G26</f>
        <v>0.0344827586206897</v>
      </c>
    </row>
    <row r="16" customFormat="false" ht="15" hidden="false" customHeight="false" outlineLevel="0" collapsed="false">
      <c r="B16" s="15" t="s">
        <v>89</v>
      </c>
      <c r="C16" s="65" t="n">
        <f aca="false">'T · Track'!E59</f>
        <v>265</v>
      </c>
      <c r="E16" s="15" t="s">
        <v>239</v>
      </c>
      <c r="F16" s="66" t="n">
        <f aca="false">'T · Time'!C22</f>
        <v>4</v>
      </c>
    </row>
    <row r="17" customFormat="false" ht="23.85" hidden="false" customHeight="false" outlineLevel="0" collapsed="false">
      <c r="B17" s="15" t="s">
        <v>240</v>
      </c>
      <c r="C17" s="61" t="n">
        <f aca="false">'R · Reclaim'!F32</f>
        <v>48</v>
      </c>
      <c r="E17" s="15" t="s">
        <v>241</v>
      </c>
      <c r="F17" s="58" t="n">
        <f aca="false">'S · Save'!E32</f>
        <v>80</v>
      </c>
    </row>
    <row r="18" customFormat="false" ht="15" hidden="false" customHeight="false" outlineLevel="0" collapsed="false">
      <c r="B18" s="15" t="s">
        <v>242</v>
      </c>
      <c r="C18" s="61" t="n">
        <f aca="false">'R · Reclaim'!F33</f>
        <v>576</v>
      </c>
      <c r="E18" s="15" t="s">
        <v>243</v>
      </c>
      <c r="F18" s="61" t="n">
        <f aca="false">'Income Streams'!G24</f>
        <v>150</v>
      </c>
    </row>
    <row r="19" customFormat="false" ht="15" hidden="false" customHeight="false" outlineLevel="0" collapsed="false">
      <c r="B19" s="18" t="s">
        <v>244</v>
      </c>
    </row>
    <row r="20" customFormat="false" ht="15" hidden="false" customHeight="false" outlineLevel="0" collapsed="false">
      <c r="B20" s="15" t="s">
        <v>245</v>
      </c>
      <c r="C20" s="65" t="n">
        <f aca="false">'U · Understand'!C17</f>
        <v>1500</v>
      </c>
      <c r="E20" s="67" t="s">
        <v>246</v>
      </c>
    </row>
    <row r="21" customFormat="false" ht="15" hidden="false" customHeight="false" outlineLevel="0" collapsed="false">
      <c r="B21" s="15" t="s">
        <v>131</v>
      </c>
      <c r="C21" s="65" t="n">
        <f aca="false">'U · Understand'!C19</f>
        <v>298.5</v>
      </c>
      <c r="E21" s="68" t="s">
        <v>247</v>
      </c>
      <c r="F21" s="68"/>
    </row>
    <row r="22" customFormat="false" ht="15" hidden="false" customHeight="false" outlineLevel="0" collapsed="false">
      <c r="B22" s="15" t="s">
        <v>248</v>
      </c>
      <c r="C22" s="61" t="n">
        <f aca="false">'S · Save'!C11</f>
        <v>1200</v>
      </c>
      <c r="E22" s="68" t="s">
        <v>249</v>
      </c>
      <c r="F22" s="68"/>
    </row>
    <row r="23" customFormat="false" ht="15" hidden="false" customHeight="false" outlineLevel="0" collapsed="false">
      <c r="B23" s="15" t="s">
        <v>250</v>
      </c>
      <c r="C23" s="60" t="n">
        <f aca="false">'S · Save'!C10</f>
        <v>5220</v>
      </c>
      <c r="E23" s="68" t="s">
        <v>251</v>
      </c>
      <c r="F23" s="68"/>
    </row>
    <row r="24" customFormat="false" ht="15" hidden="false" customHeight="false" outlineLevel="0" collapsed="false">
      <c r="B24" s="15" t="s">
        <v>252</v>
      </c>
      <c r="C24" s="63" t="n">
        <f aca="false">'S · Save'!C12</f>
        <v>0.229885057471264</v>
      </c>
      <c r="E24" s="68" t="s">
        <v>253</v>
      </c>
      <c r="F24" s="68"/>
    </row>
    <row r="25" customFormat="false" ht="15" hidden="false" customHeight="false" outlineLevel="0" collapsed="false">
      <c r="B25" s="15" t="s">
        <v>254</v>
      </c>
      <c r="C25" s="61" t="n">
        <f aca="false">'Income Streams'!G23</f>
        <v>60</v>
      </c>
      <c r="E25" s="68" t="s">
        <v>255</v>
      </c>
      <c r="F25" s="68"/>
    </row>
    <row r="26" customFormat="false" ht="15" hidden="false" customHeight="false" outlineLevel="0" collapsed="false">
      <c r="E26" s="68" t="s">
        <v>256</v>
      </c>
      <c r="F26" s="68"/>
    </row>
    <row r="27" customFormat="false" ht="15" hidden="false" customHeight="false" outlineLevel="0" collapsed="false">
      <c r="E27" s="68" t="s">
        <v>257</v>
      </c>
      <c r="F27" s="68"/>
    </row>
    <row r="28" customFormat="false" ht="15" hidden="false" customHeight="false" outlineLevel="0" collapsed="false">
      <c r="B28" s="69" t="s">
        <v>258</v>
      </c>
    </row>
    <row r="29" customFormat="false" ht="15" hidden="false" customHeight="false" outlineLevel="0" collapsed="false">
      <c r="B29" s="70" t="s">
        <v>259</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260</v>
      </c>
      <c r="C2" s="11"/>
      <c r="D2" s="11"/>
      <c r="E2" s="11"/>
      <c r="F2" s="11"/>
      <c r="G2" s="11"/>
      <c r="H2" s="11"/>
      <c r="I2" s="11"/>
      <c r="J2" s="11"/>
      <c r="K2" s="11"/>
      <c r="L2" s="11"/>
    </row>
    <row r="3" customFormat="false" ht="31.5" hidden="false" customHeight="true" outlineLevel="0" collapsed="false">
      <c r="B3" s="12" t="s">
        <v>261</v>
      </c>
      <c r="C3" s="12"/>
      <c r="D3" s="12"/>
      <c r="E3" s="12"/>
      <c r="F3" s="12"/>
      <c r="G3" s="12"/>
      <c r="H3" s="12"/>
      <c r="I3" s="12"/>
      <c r="J3" s="12"/>
      <c r="K3" s="12"/>
      <c r="L3" s="12"/>
    </row>
    <row r="5" customFormat="false" ht="30" hidden="false" customHeight="true" outlineLevel="0" collapsed="false">
      <c r="B5" s="19" t="s">
        <v>262</v>
      </c>
      <c r="C5" s="19" t="s">
        <v>263</v>
      </c>
      <c r="D5" s="19" t="s">
        <v>264</v>
      </c>
      <c r="E5" s="19" t="s">
        <v>89</v>
      </c>
      <c r="F5" s="19" t="s">
        <v>265</v>
      </c>
      <c r="G5" s="19" t="s">
        <v>93</v>
      </c>
      <c r="H5" s="19" t="s">
        <v>266</v>
      </c>
      <c r="I5" s="19" t="s">
        <v>118</v>
      </c>
      <c r="J5" s="19" t="s">
        <v>267</v>
      </c>
      <c r="K5" s="19" t="s">
        <v>268</v>
      </c>
      <c r="L5" s="19" t="s">
        <v>269</v>
      </c>
    </row>
    <row r="6" customFormat="false" ht="15" hidden="false" customHeight="false" outlineLevel="0" collapsed="false">
      <c r="B6" s="20" t="s">
        <v>270</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271</v>
      </c>
    </row>
    <row r="7" customFormat="false" ht="15" hidden="false" customHeight="false" outlineLevel="0" collapsed="false">
      <c r="B7" s="20" t="s">
        <v>272</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273</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68</v>
      </c>
      <c r="B1" s="0" t="s">
        <v>69</v>
      </c>
      <c r="C1" s="0" t="s">
        <v>112</v>
      </c>
      <c r="D1" s="0" t="s">
        <v>209</v>
      </c>
      <c r="E1" s="0" t="s">
        <v>220</v>
      </c>
      <c r="F1" s="0" t="s">
        <v>274</v>
      </c>
    </row>
    <row r="2" customFormat="false" ht="15" hidden="false" customHeight="false" outlineLevel="0" collapsed="false">
      <c r="A2" s="0" t="s">
        <v>72</v>
      </c>
      <c r="B2" s="0" t="s">
        <v>83</v>
      </c>
      <c r="C2" s="0" t="s">
        <v>103</v>
      </c>
      <c r="D2" s="0" t="s">
        <v>275</v>
      </c>
      <c r="E2" s="0" t="s">
        <v>215</v>
      </c>
      <c r="F2" s="0" t="s">
        <v>276</v>
      </c>
    </row>
    <row r="3" customFormat="false" ht="15" hidden="false" customHeight="false" outlineLevel="0" collapsed="false">
      <c r="A3" s="0" t="s">
        <v>73</v>
      </c>
      <c r="C3" s="0" t="s">
        <v>106</v>
      </c>
      <c r="D3" s="0" t="s">
        <v>214</v>
      </c>
      <c r="E3" s="0" t="s">
        <v>210</v>
      </c>
      <c r="F3" s="0" t="s">
        <v>277</v>
      </c>
    </row>
    <row r="4" customFormat="false" ht="15" hidden="false" customHeight="false" outlineLevel="0" collapsed="false">
      <c r="A4" s="0" t="s">
        <v>75</v>
      </c>
      <c r="C4" s="0" t="s">
        <v>109</v>
      </c>
      <c r="D4" s="0" t="s">
        <v>219</v>
      </c>
      <c r="E4" s="0" t="s">
        <v>278</v>
      </c>
      <c r="F4" s="0" t="s">
        <v>279</v>
      </c>
    </row>
    <row r="5" customFormat="false" ht="15" hidden="false" customHeight="false" outlineLevel="0" collapsed="false">
      <c r="A5" s="0" t="s">
        <v>76</v>
      </c>
      <c r="D5" s="0" t="s">
        <v>280</v>
      </c>
      <c r="F5" s="0" t="s">
        <v>281</v>
      </c>
    </row>
    <row r="6" customFormat="false" ht="15" hidden="false" customHeight="false" outlineLevel="0" collapsed="false">
      <c r="A6" s="0" t="s">
        <v>282</v>
      </c>
      <c r="D6" s="0" t="s">
        <v>283</v>
      </c>
      <c r="F6" s="0" t="s">
        <v>284</v>
      </c>
    </row>
    <row r="7" customFormat="false" ht="15" hidden="false" customHeight="false" outlineLevel="0" collapsed="false">
      <c r="A7" s="0" t="s">
        <v>78</v>
      </c>
      <c r="D7" s="0" t="s">
        <v>285</v>
      </c>
      <c r="F7" s="0" t="s">
        <v>286</v>
      </c>
    </row>
    <row r="8" customFormat="false" ht="15" hidden="false" customHeight="false" outlineLevel="0" collapsed="false">
      <c r="A8" s="0" t="s">
        <v>287</v>
      </c>
      <c r="D8" s="0" t="s">
        <v>288</v>
      </c>
    </row>
    <row r="9" customFormat="false" ht="15" hidden="false" customHeight="false" outlineLevel="0" collapsed="false">
      <c r="A9" s="0" t="s">
        <v>80</v>
      </c>
      <c r="D9" s="0" t="s">
        <v>289</v>
      </c>
    </row>
    <row r="10" customFormat="false" ht="15" hidden="false" customHeight="false" outlineLevel="0" collapsed="false">
      <c r="A10" s="0" t="s">
        <v>82</v>
      </c>
    </row>
    <row r="11" customFormat="false" ht="15" hidden="false" customHeight="false" outlineLevel="0" collapsed="false">
      <c r="A11" s="0" t="s">
        <v>85</v>
      </c>
    </row>
    <row r="12" customFormat="false" ht="15" hidden="false" customHeight="false" outlineLevel="0" collapsed="false">
      <c r="A12" s="0" t="s">
        <v>87</v>
      </c>
    </row>
    <row r="13" customFormat="false" ht="15" hidden="false" customHeight="false" outlineLevel="0" collapsed="false">
      <c r="A13" s="0" t="s">
        <v>290</v>
      </c>
    </row>
    <row r="14" customFormat="false" ht="15" hidden="false" customHeight="false" outlineLevel="0" collapsed="false">
      <c r="A14" s="0" t="s">
        <v>291</v>
      </c>
    </row>
    <row r="15" customFormat="false" ht="15" hidden="false" customHeight="false" outlineLevel="0" collapsed="false">
      <c r="A15" s="0" t="s">
        <v>292</v>
      </c>
    </row>
    <row r="16" customFormat="false" ht="15" hidden="false" customHeight="false" outlineLevel="0" collapsed="false">
      <c r="A16" s="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2026-10-16T11:41:58Z</dcterms:created>
  <dc:creator>openpyxl</dc:creator>
  <dc:description/>
  <dc:language>en-US</dc:language>
  <cp:lastModifiedBy/>
  <dcterms:modified xsi:type="dcterms:W3CDTF">2026-10-16T11:41:58Z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