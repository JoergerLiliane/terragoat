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T · Track" sheetId="2" state="visible" r:id="rId4"/>
    <sheet name="R · Reclaim" sheetId="3" state="visible" r:id="rId5"/>
    <sheet name="U · Understand" sheetId="4" state="visible" r:id="rId6"/>
    <sheet name="S · Save" sheetId="5" state="visible" r:id="rId7"/>
    <sheet name="T · Time" sheetId="6" state="visible" r:id="rId8"/>
    <sheet name="Income Streams" sheetId="7" state="visible" r:id="rId9"/>
    <sheet name="KEEP Dashboard" sheetId="8" state="visible" r:id="rId10"/>
    <sheet name="Monthly Review" sheetId="9" state="visible" r:id="rId11"/>
    <sheet name="Lists" sheetId="10" state="hidden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8" authorId="0">
      <text>
        <r>
          <rPr>
            <sz val="10"/>
            <rFont val="Arial"/>
            <family val="2"/>
          </rPr>
          <t xml:space="preserve">Pulled automatically from the Income Streams tab. Overwrite only if you prefer to enter it here.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Your net salary from T · Track (row 7).</t>
        </r>
      </text>
    </comment>
  </commentList>
</comments>
</file>

<file path=xl/sharedStrings.xml><?xml version="1.0" encoding="utf-8"?>
<sst xmlns="http://schemas.openxmlformats.org/spreadsheetml/2006/main" count="324" uniqueCount="272">
  <si>
    <t xml:space="preserve">TRUST Tracker · Freedom Edition</t>
  </si>
  <si>
    <t xml:space="preserve">Financial freedom without quitting your 9–5. Built for busy professionals and caregivers: 20 minutes to set up, 15 minutes a week to run.</t>
  </si>
  <si>
    <t xml:space="preserve">HOW TO USE</t>
  </si>
  <si>
    <t xml:space="preserve">1 · Fill the yellow cells</t>
  </si>
  <si>
    <t xml:space="preserve">Every cell with a pale yellow background and blue text is yours to edit. Everything else calculates itself. The rows already filled in are EXAMPLES: overwrite or delete them.</t>
  </si>
  <si>
    <t xml:space="preserve">2 · Go tab by tab, in order</t>
  </si>
  <si>
    <t xml:space="preserve">T Track → R Reclaim → U Understand → S Save → T Time. Then add any side income on Income Streams.</t>
  </si>
  <si>
    <t xml:space="preserve">3 · Read your KEEP dashboard</t>
  </si>
  <si>
    <t xml:space="preserve">KEEP = Know your Earnings to Escape your Paycheck. It shows what you keep, your Freedom Level (0–6) and the one next step that matters now.</t>
  </si>
  <si>
    <t xml:space="preserve">4 · Review once a month</t>
  </si>
  <si>
    <t xml:space="preserve">Copy this month's dashboard numbers into Monthly Review. 12 rows, one per month. Watch your level climb.</t>
  </si>
  <si>
    <t xml:space="preserve">THE TRUST SYSTEM</t>
  </si>
  <si>
    <t xml:space="preserve">T · Track</t>
  </si>
  <si>
    <t xml:space="preserve">See every euro that comes in and goes out. Needs vs. wants, including care costs.</t>
  </si>
  <si>
    <t xml:space="preserve">R · Reclaim</t>
  </si>
  <si>
    <t xml:space="preserve">Find the money leaking out: subscriptions, fees, contracts you can cut or renegotiate.</t>
  </si>
  <si>
    <t xml:space="preserve">U · Understand</t>
  </si>
  <si>
    <t xml:space="preserve">Know your debt, the true cost of it, and what one hour of your working life is really worth.</t>
  </si>
  <si>
    <t xml:space="preserve">S · Save</t>
  </si>
  <si>
    <t xml:space="preserve">Build a buffer first, then a full emergency fund, then goals. In that order.</t>
  </si>
  <si>
    <t xml:space="preserve">T · Time</t>
  </si>
  <si>
    <t xml:space="preserve">Map your week. Find the few hours you can protect for family and for building options.</t>
  </si>
  <si>
    <t xml:space="preserve">HEAVY WEEK?</t>
  </si>
  <si>
    <t xml:space="preserve">Caring for someone, deadlines, illness: do the minimum version. Open the KEEP dashboard, check one number (what you keep), update one cell. That counts. Consistency beats perfection.</t>
  </si>
  <si>
    <t xml:space="preserve">COLOUR KEY</t>
  </si>
  <si>
    <t xml:space="preserve">Yellow cell, blue text</t>
  </si>
  <si>
    <t xml:space="preserve">Your input</t>
  </si>
  <si>
    <t xml:space="preserve">Black text</t>
  </si>
  <si>
    <t xml:space="preserve">Calculated: please don't overwrite</t>
  </si>
  <si>
    <t xml:space="preserve">Bordeaux text</t>
  </si>
  <si>
    <t xml:space="preserve">Money going out or still owed (debt)</t>
  </si>
  <si>
    <t xml:space="preserve">IMPORTANT</t>
  </si>
  <si>
    <t xml:space="preserve">Educational tool only. Not financial, tax, legal or investment advice. It tracks and organises; it does not recommend specific products. For decisions about your situation, speak to a licensed adviser. Your numbers stay in your own copy.</t>
  </si>
  <si>
    <t xml:space="preserve">© cybercnslt.com · Liliane Jörger · @cyber_cnslt · For personal use by the purchaser only, please don't resell or share.</t>
  </si>
  <si>
    <t xml:space="preserve">List what comes in and what goes out in a normal month. Yearly costs? Divide by 12. Debt minimum payments are a Need. Don't list savings transfers here: what's left over is what you KEEP.</t>
  </si>
  <si>
    <t xml:space="preserve">MONEY IN (net, per month)</t>
  </si>
  <si>
    <t xml:space="preserve">Source</t>
  </si>
  <si>
    <t xml:space="preserve">Note</t>
  </si>
  <si>
    <t xml:space="preserve">€ / month</t>
  </si>
  <si>
    <t xml:space="preserve">Salary (net)</t>
  </si>
  <si>
    <t xml:space="preserve">Main job</t>
  </si>
  <si>
    <t xml:space="preserve">Side income</t>
  </si>
  <si>
    <t xml:space="preserve">Total from Income Streams tab</t>
  </si>
  <si>
    <t xml:space="preserve">Benefits / allowances</t>
  </si>
  <si>
    <t xml:space="preserve">e.g. child benefit, care allowance</t>
  </si>
  <si>
    <t xml:space="preserve">Total money in</t>
  </si>
  <si>
    <t xml:space="preserve">MONEY OUT (per month)</t>
  </si>
  <si>
    <t xml:space="preserve">Expense</t>
  </si>
  <si>
    <t xml:space="preserve">Category</t>
  </si>
  <si>
    <t xml:space="preserve">Need / Want</t>
  </si>
  <si>
    <t xml:space="preserve">Rent / mortgage</t>
  </si>
  <si>
    <t xml:space="preserve">Housing</t>
  </si>
  <si>
    <t xml:space="preserve">Need</t>
  </si>
  <si>
    <t xml:space="preserve">Example rows: overwrite with yours</t>
  </si>
  <si>
    <t xml:space="preserve">Electricity, internet, phone</t>
  </si>
  <si>
    <t xml:space="preserve">Utilities &amp; phone</t>
  </si>
  <si>
    <t xml:space="preserve">Groceries</t>
  </si>
  <si>
    <t xml:space="preserve">Public transport / fuel</t>
  </si>
  <si>
    <t xml:space="preserve">Transport</t>
  </si>
  <si>
    <t xml:space="preserve">Insurance</t>
  </si>
  <si>
    <t xml:space="preserve">Care support for mum</t>
  </si>
  <si>
    <t xml:space="preserve">Caregiving</t>
  </si>
  <si>
    <t xml:space="preserve">Credit card minimum</t>
  </si>
  <si>
    <t xml:space="preserve">Debt payments</t>
  </si>
  <si>
    <t xml:space="preserve">Streaming &amp; apps</t>
  </si>
  <si>
    <t xml:space="preserve">Subscriptions</t>
  </si>
  <si>
    <t xml:space="preserve">Want</t>
  </si>
  <si>
    <t xml:space="preserve">Eating out &amp; takeaway</t>
  </si>
  <si>
    <t xml:space="preserve">Eating out</t>
  </si>
  <si>
    <t xml:space="preserve">Clothes &amp; shopping</t>
  </si>
  <si>
    <t xml:space="preserve">Shopping</t>
  </si>
  <si>
    <t xml:space="preserve">Needs (your baseline)</t>
  </si>
  <si>
    <t xml:space="preserve">Wants</t>
  </si>
  <si>
    <t xml:space="preserve">of which caregiving</t>
  </si>
  <si>
    <t xml:space="preserve">Unsorted (pick Need or Want)</t>
  </si>
  <si>
    <t xml:space="preserve">KEEP (in − needs − wants)</t>
  </si>
  <si>
    <t xml:space="preserve">Keep rate</t>
  </si>
  <si>
    <t xml:space="preserve">Go through bank statements for 10 minutes. Every subscription, fee and contract goes here. Decide: Keep, Cut, Reduce or Renegotiate. One call to a provider can be worth hundreds a year.</t>
  </si>
  <si>
    <t xml:space="preserve">Subscription / cost</t>
  </si>
  <si>
    <t xml:space="preserve">Now € / month</t>
  </si>
  <si>
    <t xml:space="preserve">Decision</t>
  </si>
  <si>
    <t xml:space="preserve">New € / month</t>
  </si>
  <si>
    <t xml:space="preserve">Reclaimed € / month</t>
  </si>
  <si>
    <t xml:space="preserve">Next action</t>
  </si>
  <si>
    <t xml:space="preserve">Second streaming service</t>
  </si>
  <si>
    <t xml:space="preserve">Cut</t>
  </si>
  <si>
    <t xml:space="preserve">Cancel before renewal on the 15th</t>
  </si>
  <si>
    <t xml:space="preserve">Gym (not used since spring)</t>
  </si>
  <si>
    <t xml:space="preserve">Reduce</t>
  </si>
  <si>
    <t xml:space="preserve">Switch to off-peak plan</t>
  </si>
  <si>
    <t xml:space="preserve">Mobile contract</t>
  </si>
  <si>
    <t xml:space="preserve">Renegotiate</t>
  </si>
  <si>
    <t xml:space="preserve">Call and ask for current tariff</t>
  </si>
  <si>
    <t xml:space="preserve">Cloud storage</t>
  </si>
  <si>
    <t xml:space="preserve">Keep</t>
  </si>
  <si>
    <t xml:space="preserve">Reclaimable per month</t>
  </si>
  <si>
    <t xml:space="preserve">Reclaimable per year</t>
  </si>
  <si>
    <t xml:space="preserve">Rule: reclaimed money gets a job the same day. Move it to your buffer or debt before it disappears into everyday spending.</t>
  </si>
  <si>
    <t xml:space="preserve">Debt first: what you owe, what it costs you each month, and which one to attack first (highest interest = highest priority). Then: what is one hour of your working life really worth?</t>
  </si>
  <si>
    <t xml:space="preserve">Debt</t>
  </si>
  <si>
    <t xml:space="preserve">Balance €</t>
  </si>
  <si>
    <t xml:space="preserve">Interest % / year</t>
  </si>
  <si>
    <t xml:space="preserve">Minimum € / month</t>
  </si>
  <si>
    <t xml:space="preserve">Extra € / month</t>
  </si>
  <si>
    <t xml:space="preserve">Interest cost € / month</t>
  </si>
  <si>
    <t xml:space="preserve">Months to clear</t>
  </si>
  <si>
    <t xml:space="preserve">Priority</t>
  </si>
  <si>
    <t xml:space="preserve">Credit card</t>
  </si>
  <si>
    <t xml:space="preserve">Overdraft</t>
  </si>
  <si>
    <t xml:space="preserve">Total debt</t>
  </si>
  <si>
    <t xml:space="preserve">Priority 1 = highest interest rate. Send every extra euro there, pay minimums on the rest. Months to clear is an estimate with fixed payments.</t>
  </si>
  <si>
    <t xml:space="preserve">Interest you pay / month</t>
  </si>
  <si>
    <t xml:space="preserve">Interest you pay / year</t>
  </si>
  <si>
    <t xml:space="preserve">WHAT ONE HOUR OF YOUR LIFE IS WORTH</t>
  </si>
  <si>
    <t xml:space="preserve">Item</t>
  </si>
  <si>
    <t xml:space="preserve">Value</t>
  </si>
  <si>
    <t xml:space="preserve">Net money in / month</t>
  </si>
  <si>
    <t xml:space="preserve">Keep your first hour: the first hour of every workday is paid to you, not to your bills. Set up a standing transfer for this amount on payday. If it's too much right now, start with a quarter of it.</t>
  </si>
  <si>
    <t xml:space="preserve">Contract hours / week</t>
  </si>
  <si>
    <t xml:space="preserve">Unpaid overtime / week</t>
  </si>
  <si>
    <t xml:space="preserve">Commute hours / week</t>
  </si>
  <si>
    <t xml:space="preserve">Real hours / month</t>
  </si>
  <si>
    <t xml:space="preserve">Your real hourly value</t>
  </si>
  <si>
    <t xml:space="preserve">Before any purchase over €50, divide the price by your real hourly value. That's how many hours of your life it costs.</t>
  </si>
  <si>
    <t xml:space="preserve">Workdays / month</t>
  </si>
  <si>
    <t xml:space="preserve">Keep your first hour / month</t>
  </si>
  <si>
    <t xml:space="preserve">The order matters. First a 1-month buffer, then clear consumer debt, then a full emergency fund (3 months; 6 if you're a carer, self-employed or the only earner). Then goals.</t>
  </si>
  <si>
    <t xml:space="preserve">EMERGENCY FUND</t>
  </si>
  <si>
    <t xml:space="preserve">Monthly needs (baseline)</t>
  </si>
  <si>
    <t xml:space="preserve">Keep it separate from your everyday account, easy to reach within a day or two, and boring. This money is insurance, not an investment.</t>
  </si>
  <si>
    <t xml:space="preserve">Months of safety you want</t>
  </si>
  <si>
    <t xml:space="preserve">Starter buffer (1 month)</t>
  </si>
  <si>
    <t xml:space="preserve">Full emergency fund target</t>
  </si>
  <si>
    <t xml:space="preserve">Saved so far</t>
  </si>
  <si>
    <t xml:space="preserve">Progress</t>
  </si>
  <si>
    <t xml:space="preserve">Monthly transfer to it</t>
  </si>
  <si>
    <t xml:space="preserve">Months until full fund</t>
  </si>
  <si>
    <t xml:space="preserve">GOAL POTS (sinking funds)</t>
  </si>
  <si>
    <t xml:space="preserve">Goal</t>
  </si>
  <si>
    <t xml:space="preserve">Target €</t>
  </si>
  <si>
    <t xml:space="preserve">Saved €</t>
  </si>
  <si>
    <t xml:space="preserve">Months left</t>
  </si>
  <si>
    <t xml:space="preserve">Care costs &amp; time off</t>
  </si>
  <si>
    <t xml:space="preserve">Christmas &amp; birthdays</t>
  </si>
  <si>
    <t xml:space="preserve">Holiday with family</t>
  </si>
  <si>
    <t xml:space="preserve">Total monthly to goal pots</t>
  </si>
  <si>
    <t xml:space="preserve">Total monthly saving (fund + pots)</t>
  </si>
  <si>
    <t xml:space="preserve">Still unassigned from KEEP</t>
  </si>
  <si>
    <t xml:space="preserve">If 'still unassigned' is negative, your plan spends more than you keep. Lower a transfer until it's zero or positive.</t>
  </si>
  <si>
    <t xml:space="preserve">A week has 168 hours. Map a realistic one, including care and recovery. Then decide which hours you'll protect for the people you love, and how many (if any) go to building options.</t>
  </si>
  <si>
    <t xml:space="preserve">Area</t>
  </si>
  <si>
    <t xml:space="preserve">Hours / week now</t>
  </si>
  <si>
    <t xml:space="preserve">Hours / week goal</t>
  </si>
  <si>
    <t xml:space="preserve">What would change it?</t>
  </si>
  <si>
    <t xml:space="preserve">Sleep</t>
  </si>
  <si>
    <t xml:space="preserve">Phone out of the bedroom</t>
  </si>
  <si>
    <t xml:space="preserve">Paid work (incl. overtime)</t>
  </si>
  <si>
    <t xml:space="preserve">Stop answering email after 7pm</t>
  </si>
  <si>
    <t xml:space="preserve">Commute</t>
  </si>
  <si>
    <t xml:space="preserve">Ask sibling for one fixed day</t>
  </si>
  <si>
    <t xml:space="preserve">Household &amp; admin</t>
  </si>
  <si>
    <t xml:space="preserve">One big shop per week</t>
  </si>
  <si>
    <t xml:space="preserve">Family &amp; friends time</t>
  </si>
  <si>
    <t xml:space="preserve">Protected Sunday afternoon</t>
  </si>
  <si>
    <t xml:space="preserve">Health &amp; movement</t>
  </si>
  <si>
    <t xml:space="preserve">Walk at lunch</t>
  </si>
  <si>
    <t xml:space="preserve">Building options (learning / side income)</t>
  </si>
  <si>
    <t xml:space="preserve">Two 2-hour blocks, Tue &amp; Sat</t>
  </si>
  <si>
    <t xml:space="preserve">Rest &amp; yourself</t>
  </si>
  <si>
    <t xml:space="preserve">Hours planned</t>
  </si>
  <si>
    <t xml:space="preserve">Unplanned hours (of 168)</t>
  </si>
  <si>
    <t xml:space="preserve">Family time gained / week</t>
  </si>
  <si>
    <t xml:space="preserve">Family time gained / year</t>
  </si>
  <si>
    <t xml:space="preserve">Negative unplanned hours mean the week doesn't fit. Something has to go before anything new comes in. Never take side-project hours out of sleep or family first.</t>
  </si>
  <si>
    <t xml:space="preserve">Your hourly value at work</t>
  </si>
  <si>
    <t xml:space="preserve">This is roughly what extra income or savings would need to replace if you reduced your paid hours to your goal. A concrete target for the Income Streams tab.</t>
  </si>
  <si>
    <t xml:space="preserve">Value of the work hours you want back / year</t>
  </si>
  <si>
    <t xml:space="preserve">Income Streams</t>
  </si>
  <si>
    <t xml:space="preserve">Build one stream at a time, beside your career. Log every stream here, including a raise you negotiated. Watch € per hour: a stream that pays less than your job per hour must be buying you something else (skills, assets, freedom later).</t>
  </si>
  <si>
    <t xml:space="preserve">Stream</t>
  </si>
  <si>
    <t xml:space="preserve">Type</t>
  </si>
  <si>
    <t xml:space="preserve">Status</t>
  </si>
  <si>
    <t xml:space="preserve">Hours / week</t>
  </si>
  <si>
    <t xml:space="preserve">Started (month)</t>
  </si>
  <si>
    <t xml:space="preserve">€ / month (net)</t>
  </si>
  <si>
    <t xml:space="preserve">€ per hour</t>
  </si>
  <si>
    <t xml:space="preserve">Next small step</t>
  </si>
  <si>
    <t xml:space="preserve">Salary raise negotiated</t>
  </si>
  <si>
    <t xml:space="preserve">Career (raise/promotion)</t>
  </si>
  <si>
    <t xml:space="preserve">Earning</t>
  </si>
  <si>
    <t xml:space="preserve">2026-03</t>
  </si>
  <si>
    <t xml:space="preserve">Prepare next review in March</t>
  </si>
  <si>
    <t xml:space="preserve">Cybersecurity starter guide</t>
  </si>
  <si>
    <t xml:space="preserve">Digital product</t>
  </si>
  <si>
    <t xml:space="preserve">Testing</t>
  </si>
  <si>
    <t xml:space="preserve">2026-08</t>
  </si>
  <si>
    <t xml:space="preserve">Post 3 reels pointing to it</t>
  </si>
  <si>
    <t xml:space="preserve">UGC for a skincare brand</t>
  </si>
  <si>
    <t xml:space="preserve">UGC</t>
  </si>
  <si>
    <t xml:space="preserve">Idea</t>
  </si>
  <si>
    <t xml:space="preserve">Make 2 sample videos</t>
  </si>
  <si>
    <t xml:space="preserve">Total extra income / month</t>
  </si>
  <si>
    <t xml:space="preserve">Career growth / month (in salary)</t>
  </si>
  <si>
    <t xml:space="preserve">Hours / week on streams</t>
  </si>
  <si>
    <t xml:space="preserve">Share of your needs covered by extra income</t>
  </si>
  <si>
    <t xml:space="preserve">A raise already shows up in your net salary on T · Track, so it is counted separately and not added to side income twice.</t>
  </si>
  <si>
    <t xml:space="preserve">KEEP — Know your Earnings to Escape your Paycheck</t>
  </si>
  <si>
    <t xml:space="preserve">Your month on one page. Nothing to fill in here: it reads every other tab.</t>
  </si>
  <si>
    <t xml:space="preserve">YOUR FREEDOM LEVEL</t>
  </si>
  <si>
    <t xml:space="preserve">Level number</t>
  </si>
  <si>
    <t xml:space="preserve">MONEY</t>
  </si>
  <si>
    <t xml:space="preserve">TIME &amp; OPTIONS</t>
  </si>
  <si>
    <t xml:space="preserve">Money in / month</t>
  </si>
  <si>
    <t xml:space="preserve">1 hour of your life is worth</t>
  </si>
  <si>
    <t xml:space="preserve">Needs (baseline)</t>
  </si>
  <si>
    <t xml:space="preserve">What you KEEP / month</t>
  </si>
  <si>
    <t xml:space="preserve">Hours / week on income streams</t>
  </si>
  <si>
    <t xml:space="preserve">Needs covered by extra income</t>
  </si>
  <si>
    <t xml:space="preserve">Family time gained / week (goal)</t>
  </si>
  <si>
    <t xml:space="preserve">Reclaimable / month</t>
  </si>
  <si>
    <t xml:space="preserve">Unassigned KEEP after savings plan</t>
  </si>
  <si>
    <t xml:space="preserve">Reclaimable / year</t>
  </si>
  <si>
    <t xml:space="preserve">Career growth / month</t>
  </si>
  <si>
    <t xml:space="preserve">SAFETY</t>
  </si>
  <si>
    <t xml:space="preserve">Debt to clear</t>
  </si>
  <si>
    <t xml:space="preserve">THE FREEDOM LADDER</t>
  </si>
  <si>
    <t xml:space="preserve">0 · Overwhelmed: more out than in</t>
  </si>
  <si>
    <t xml:space="preserve">Emergency fund saved</t>
  </si>
  <si>
    <t xml:space="preserve">1 · Stable: KEEP is €0 or more</t>
  </si>
  <si>
    <t xml:space="preserve">Emergency fund target</t>
  </si>
  <si>
    <t xml:space="preserve">2 · Buffered: 1 month of needs saved</t>
  </si>
  <si>
    <t xml:space="preserve">Fund progress</t>
  </si>
  <si>
    <t xml:space="preserve">3 · Debt-free: consumer debt cleared</t>
  </si>
  <si>
    <t xml:space="preserve">Extra income / month</t>
  </si>
  <si>
    <t xml:space="preserve">4 · Secure: full emergency fund</t>
  </si>
  <si>
    <t xml:space="preserve">5 · Flexible: extra income ≥ 25% of needs</t>
  </si>
  <si>
    <t xml:space="preserve">6 · Free to choose: extra income ≥ needs</t>
  </si>
  <si>
    <t xml:space="preserve">Small hours add up. Keep your first hour, and keep going. — Liliane</t>
  </si>
  <si>
    <t xml:space="preserve">Educational tool. Not financial advice.</t>
  </si>
  <si>
    <t xml:space="preserve">Monthly Review</t>
  </si>
  <si>
    <t xml:space="preserve">Once a month, 15 minutes: copy the numbers from KEEP into a new row. The level calculates itself. Write one win, however small.</t>
  </si>
  <si>
    <t xml:space="preserve">Month</t>
  </si>
  <si>
    <t xml:space="preserve">Money in</t>
  </si>
  <si>
    <t xml:space="preserve">Needs</t>
  </si>
  <si>
    <t xml:space="preserve">KEEP</t>
  </si>
  <si>
    <t xml:space="preserve">Emergency fund</t>
  </si>
  <si>
    <t xml:space="preserve">Extra income</t>
  </si>
  <si>
    <t xml:space="preserve">Level</t>
  </si>
  <si>
    <t xml:space="preserve">One win this month</t>
  </si>
  <si>
    <t xml:space="preserve">Sep 2026</t>
  </si>
  <si>
    <t xml:space="preserve">Cancelled 2 subscriptions</t>
  </si>
  <si>
    <t xml:space="preserve">Oct 2026</t>
  </si>
  <si>
    <t xml:space="preserve">First €60 from my guide</t>
  </si>
  <si>
    <t xml:space="preserve">Level 0 · Overwhelmed</t>
  </si>
  <si>
    <t xml:space="preserve">Freelance / consulting</t>
  </si>
  <si>
    <t xml:space="preserve">Level 1 · Stable</t>
  </si>
  <si>
    <t xml:space="preserve">Level 2 · Buffered</t>
  </si>
  <si>
    <t xml:space="preserve">Paused</t>
  </si>
  <si>
    <t xml:space="preserve">Level 3 · Debt-free</t>
  </si>
  <si>
    <t xml:space="preserve">YouTube / content</t>
  </si>
  <si>
    <t xml:space="preserve">Level 4 · Secure</t>
  </si>
  <si>
    <t xml:space="preserve">Childcare</t>
  </si>
  <si>
    <t xml:space="preserve">Brand deals</t>
  </si>
  <si>
    <t xml:space="preserve">Level 5 · Flexible</t>
  </si>
  <si>
    <t xml:space="preserve">Affiliate</t>
  </si>
  <si>
    <t xml:space="preserve">Level 6 · Free to choose</t>
  </si>
  <si>
    <t xml:space="preserve">Health</t>
  </si>
  <si>
    <t xml:space="preserve">Investment income</t>
  </si>
  <si>
    <t xml:space="preserve">Other</t>
  </si>
  <si>
    <t xml:space="preserve">Fun &amp; hobbies</t>
  </si>
  <si>
    <t xml:space="preserve">Gifts</t>
  </si>
  <si>
    <t xml:space="preserve">Travel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</si>
</sst>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€#,##0;&quot;-€&quot;#,##0;\–"/>
    <numFmt numFmtId="166" formatCode="0.0%;\-0.0%;\–"/>
    <numFmt numFmtId="167" formatCode="0.0%"/>
    <numFmt numFmtId="168" formatCode="\€#,##0.00;&quot;-€&quot;#,##0.00;\–"/>
    <numFmt numFmtId="169" formatCode="0"/>
    <numFmt numFmtId="170" formatCode="0.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Georgia"/>
      <family val="0"/>
      <charset val="1"/>
    </font>
    <font>
      <i val="true"/>
      <sz val="10"/>
      <color rgb="FF6E8180"/>
      <name val="Arial"/>
      <family val="0"/>
      <charset val="1"/>
    </font>
    <font>
      <b val="true"/>
      <sz val="11"/>
      <color rgb="FF9E1B5E"/>
      <name val="Arial"/>
      <family val="0"/>
      <charset val="1"/>
    </font>
    <font>
      <b val="true"/>
      <sz val="10"/>
      <color rgb="FF134E4E"/>
      <name val="Arial"/>
      <family val="0"/>
      <charset val="1"/>
    </font>
    <font>
      <sz val="10"/>
      <color rgb="FF213534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9E1B5E"/>
      <name val="Arial"/>
      <family val="0"/>
      <charset val="1"/>
    </font>
    <font>
      <b val="true"/>
      <sz val="10"/>
      <color rgb="FF1A9E9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213534"/>
      <name val="Arial"/>
      <family val="0"/>
      <charset val="1"/>
    </font>
    <font>
      <sz val="10"/>
      <color rgb="FF6E8180"/>
      <name val="Arial"/>
      <family val="0"/>
      <charset val="1"/>
    </font>
    <font>
      <sz val="10"/>
      <color rgb="FF9E1B5E"/>
      <name val="Arial"/>
      <family val="0"/>
      <charset val="1"/>
    </font>
    <font>
      <sz val="10"/>
      <name val="Arial"/>
      <family val="2"/>
    </font>
    <font>
      <sz val="10"/>
      <color rgb="FF1A9E9E"/>
      <name val="Arial"/>
      <family val="0"/>
      <charset val="1"/>
    </font>
    <font>
      <b val="true"/>
      <sz val="18"/>
      <color rgb="FFFFFFFF"/>
      <name val="Georgia"/>
      <family val="0"/>
      <charset val="1"/>
    </font>
    <font>
      <i val="true"/>
      <sz val="10"/>
      <color rgb="FF0F6E6E"/>
      <name val="Arial"/>
      <family val="0"/>
      <charset val="1"/>
    </font>
    <font>
      <sz val="8"/>
      <color rgb="FF6E81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34E4E"/>
        <bgColor rgb="FF213534"/>
      </patternFill>
    </fill>
    <fill>
      <patternFill patternType="solid">
        <fgColor rgb="FFFFF7E0"/>
        <bgColor rgb="FFF2F8F7"/>
      </patternFill>
    </fill>
    <fill>
      <patternFill patternType="solid">
        <fgColor rgb="FF1A9E9E"/>
        <bgColor rgb="FF008080"/>
      </patternFill>
    </fill>
    <fill>
      <patternFill patternType="solid">
        <fgColor rgb="FFE8F4F2"/>
        <bgColor rgb="FFF2F8F7"/>
      </patternFill>
    </fill>
    <fill>
      <patternFill patternType="solid">
        <fgColor rgb="FFF2F8F7"/>
        <bgColor rgb="FFE8F4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EAE8"/>
      </left>
      <right style="thin">
        <color rgb="FFDDEAE8"/>
      </right>
      <top style="thin">
        <color rgb="FFDDEAE8"/>
      </top>
      <bottom style="thin">
        <color rgb="FFDDEA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FFFF"/>
      </font>
      <fill>
        <patternFill>
          <bgColor rgb="FF1A9E9E"/>
        </patternFill>
      </fill>
    </dxf>
    <dxf>
      <font>
        <name val="Arial"/>
        <charset val="1"/>
        <family val="0"/>
        <b val="1"/>
        <color rgb="FF9E1B5E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6E"/>
      <rgbColor rgb="FFC0C0C0"/>
      <rgbColor rgb="FF6E8180"/>
      <rgbColor rgb="FF9999FF"/>
      <rgbColor rgb="FF9E1B5E"/>
      <rgbColor rgb="FFFFF7E0"/>
      <rgbColor rgb="FFE8F4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AE8"/>
      <rgbColor rgb="FFF2F8F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34E4E"/>
      <rgbColor rgb="FF1A9E9E"/>
      <rgbColor rgb="FF003300"/>
      <rgbColor rgb="FF333300"/>
      <rgbColor rgb="FF993300"/>
      <rgbColor rgb="FF993366"/>
      <rgbColor rgb="FF333399"/>
      <rgbColor rgb="FF21353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1B5E"/>
    <pageSetUpPr fitToPage="false"/>
  </sheetPr>
  <dimension ref="B2:C26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3"/>
  </cols>
  <sheetData>
    <row r="2" customFormat="false" ht="39.75" hidden="false" customHeight="true" outlineLevel="0" collapsed="false">
      <c r="B2" s="1" t="s">
        <v>0</v>
      </c>
      <c r="C2" s="1"/>
    </row>
    <row r="3" customFormat="false" ht="31.5" hidden="false" customHeight="true" outlineLevel="0" collapsed="false">
      <c r="B3" s="2" t="s">
        <v>1</v>
      </c>
      <c r="C3" s="2"/>
    </row>
    <row r="5" customFormat="false" ht="15" hidden="false" customHeight="false" outlineLevel="0" collapsed="false">
      <c r="B5" s="3" t="s">
        <v>2</v>
      </c>
    </row>
    <row r="6" customFormat="false" ht="45" hidden="false" customHeight="true" outlineLevel="0" collapsed="false">
      <c r="B6" s="4" t="s">
        <v>3</v>
      </c>
      <c r="C6" s="5" t="s">
        <v>4</v>
      </c>
    </row>
    <row r="7" customFormat="false" ht="30" hidden="false" customHeight="true" outlineLevel="0" collapsed="false">
      <c r="B7" s="4" t="s">
        <v>5</v>
      </c>
      <c r="C7" s="5" t="s">
        <v>6</v>
      </c>
    </row>
    <row r="8" customFormat="false" ht="30" hidden="false" customHeight="true" outlineLevel="0" collapsed="false">
      <c r="B8" s="4" t="s">
        <v>7</v>
      </c>
      <c r="C8" s="5" t="s">
        <v>8</v>
      </c>
    </row>
    <row r="9" customFormat="false" ht="30" hidden="false" customHeight="true" outlineLevel="0" collapsed="false">
      <c r="B9" s="4" t="s">
        <v>9</v>
      </c>
      <c r="C9" s="5" t="s">
        <v>10</v>
      </c>
    </row>
    <row r="10" customFormat="false" ht="15" hidden="false" customHeight="false" outlineLevel="0" collapsed="false">
      <c r="B10" s="4"/>
      <c r="C10" s="5"/>
    </row>
    <row r="11" customFormat="false" ht="15" hidden="false" customHeight="false" outlineLevel="0" collapsed="false">
      <c r="B11" s="3" t="s">
        <v>11</v>
      </c>
    </row>
    <row r="12" customFormat="false" ht="30" hidden="false" customHeight="true" outlineLevel="0" collapsed="false">
      <c r="B12" s="4" t="s">
        <v>12</v>
      </c>
      <c r="C12" s="5" t="s">
        <v>13</v>
      </c>
    </row>
    <row r="13" customFormat="false" ht="30" hidden="false" customHeight="true" outlineLevel="0" collapsed="false">
      <c r="B13" s="4" t="s">
        <v>14</v>
      </c>
      <c r="C13" s="5" t="s">
        <v>15</v>
      </c>
    </row>
    <row r="14" customFormat="false" ht="30" hidden="false" customHeight="true" outlineLevel="0" collapsed="false">
      <c r="B14" s="4" t="s">
        <v>16</v>
      </c>
      <c r="C14" s="5" t="s">
        <v>17</v>
      </c>
    </row>
    <row r="15" customFormat="false" ht="15" hidden="false" customHeight="false" outlineLevel="0" collapsed="false">
      <c r="B15" s="4" t="s">
        <v>18</v>
      </c>
      <c r="C15" s="5" t="s">
        <v>19</v>
      </c>
    </row>
    <row r="16" customFormat="false" ht="30" hidden="false" customHeight="true" outlineLevel="0" collapsed="false">
      <c r="B16" s="4" t="s">
        <v>20</v>
      </c>
      <c r="C16" s="5" t="s">
        <v>21</v>
      </c>
    </row>
    <row r="17" customFormat="false" ht="15" hidden="false" customHeight="false" outlineLevel="0" collapsed="false">
      <c r="B17" s="4"/>
      <c r="C17" s="5"/>
    </row>
    <row r="18" customFormat="false" ht="45" hidden="false" customHeight="true" outlineLevel="0" collapsed="false">
      <c r="B18" s="4" t="s">
        <v>22</v>
      </c>
      <c r="C18" s="5" t="s">
        <v>23</v>
      </c>
    </row>
    <row r="19" customFormat="false" ht="15" hidden="false" customHeight="false" outlineLevel="0" collapsed="false">
      <c r="B19" s="4"/>
      <c r="C19" s="5"/>
    </row>
    <row r="20" customFormat="false" ht="15" hidden="false" customHeight="false" outlineLevel="0" collapsed="false">
      <c r="B20" s="3" t="s">
        <v>24</v>
      </c>
    </row>
    <row r="21" customFormat="false" ht="15" hidden="false" customHeight="false" outlineLevel="0" collapsed="false">
      <c r="B21" s="6" t="s">
        <v>25</v>
      </c>
      <c r="C21" s="5" t="s">
        <v>26</v>
      </c>
    </row>
    <row r="22" customFormat="false" ht="15" hidden="false" customHeight="false" outlineLevel="0" collapsed="false">
      <c r="B22" s="4" t="s">
        <v>27</v>
      </c>
      <c r="C22" s="5" t="s">
        <v>28</v>
      </c>
    </row>
    <row r="23" customFormat="false" ht="15" hidden="false" customHeight="false" outlineLevel="0" collapsed="false">
      <c r="B23" s="7" t="s">
        <v>29</v>
      </c>
      <c r="C23" s="5" t="s">
        <v>30</v>
      </c>
    </row>
    <row r="24" customFormat="false" ht="15" hidden="false" customHeight="false" outlineLevel="0" collapsed="false">
      <c r="B24" s="4"/>
      <c r="C24" s="5"/>
    </row>
    <row r="25" customFormat="false" ht="45" hidden="false" customHeight="true" outlineLevel="0" collapsed="false">
      <c r="B25" s="4" t="s">
        <v>31</v>
      </c>
      <c r="C25" s="5" t="s">
        <v>32</v>
      </c>
    </row>
    <row r="26" customFormat="false" ht="30" hidden="false" customHeight="true" outlineLevel="0" collapsed="false">
      <c r="B26" s="4"/>
      <c r="C26" s="5" t="s">
        <v>33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9E9E"/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4"/>
  </cols>
  <sheetData>
    <row r="2" customFormat="false" ht="39.75" hidden="false" customHeight="true" outlineLevel="0" collapsed="false">
      <c r="B2" s="1" t="s">
        <v>12</v>
      </c>
      <c r="C2" s="1"/>
      <c r="D2" s="1"/>
      <c r="E2" s="1"/>
      <c r="F2" s="1"/>
    </row>
    <row r="3" customFormat="false" ht="31.5" hidden="false" customHeight="true" outlineLevel="0" collapsed="false">
      <c r="B3" s="2" t="s">
        <v>34</v>
      </c>
      <c r="C3" s="2"/>
      <c r="D3" s="2"/>
      <c r="E3" s="2"/>
      <c r="F3" s="2"/>
    </row>
    <row r="5" customFormat="false" ht="15" hidden="false" customHeight="false" outlineLevel="0" collapsed="false">
      <c r="B5" s="8" t="s">
        <v>35</v>
      </c>
    </row>
    <row r="6" customFormat="false" ht="30" hidden="false" customHeight="true" outlineLevel="0" collapsed="false">
      <c r="B6" s="9" t="s">
        <v>36</v>
      </c>
      <c r="C6" s="9" t="s">
        <v>37</v>
      </c>
      <c r="E6" s="9" t="s">
        <v>38</v>
      </c>
    </row>
    <row r="7" customFormat="false" ht="15" hidden="false" customHeight="false" outlineLevel="0" collapsed="false">
      <c r="B7" s="10" t="s">
        <v>39</v>
      </c>
      <c r="C7" s="10" t="s">
        <v>40</v>
      </c>
      <c r="E7" s="11" t="n">
        <v>2500</v>
      </c>
    </row>
    <row r="8" customFormat="false" ht="15" hidden="false" customHeight="false" outlineLevel="0" collapsed="false">
      <c r="B8" s="10" t="s">
        <v>41</v>
      </c>
      <c r="C8" s="10" t="s">
        <v>42</v>
      </c>
      <c r="E8" s="12" t="n">
        <f aca="false">'Income Streams'!G23</f>
        <v>60</v>
      </c>
    </row>
    <row r="9" customFormat="false" ht="15" hidden="false" customHeight="false" outlineLevel="0" collapsed="false">
      <c r="B9" s="10" t="s">
        <v>43</v>
      </c>
      <c r="C9" s="10" t="s">
        <v>44</v>
      </c>
      <c r="E9" s="11" t="n">
        <v>0</v>
      </c>
    </row>
    <row r="10" customFormat="false" ht="15" hidden="false" customHeight="false" outlineLevel="0" collapsed="false">
      <c r="B10" s="10"/>
      <c r="C10" s="10"/>
      <c r="E10" s="11"/>
    </row>
    <row r="11" customFormat="false" ht="15" hidden="false" customHeight="false" outlineLevel="0" collapsed="false">
      <c r="B11" s="10"/>
      <c r="C11" s="10"/>
      <c r="E11" s="11"/>
    </row>
    <row r="12" customFormat="false" ht="15" hidden="false" customHeight="false" outlineLevel="0" collapsed="false">
      <c r="B12" s="10"/>
      <c r="C12" s="10"/>
      <c r="E12" s="11"/>
    </row>
    <row r="13" customFormat="false" ht="15" hidden="false" customHeight="false" outlineLevel="0" collapsed="false">
      <c r="B13" s="4" t="s">
        <v>45</v>
      </c>
      <c r="E13" s="13" t="n">
        <f aca="false">SUM(E7:E12)</f>
        <v>2560</v>
      </c>
    </row>
    <row r="15" customFormat="false" ht="15" hidden="false" customHeight="false" outlineLevel="0" collapsed="false">
      <c r="B15" s="8" t="s">
        <v>46</v>
      </c>
    </row>
    <row r="16" customFormat="false" ht="30" hidden="false" customHeight="true" outlineLevel="0" collapsed="false">
      <c r="B16" s="9" t="s">
        <v>47</v>
      </c>
      <c r="C16" s="9" t="s">
        <v>48</v>
      </c>
      <c r="D16" s="9" t="s">
        <v>49</v>
      </c>
      <c r="E16" s="9" t="s">
        <v>38</v>
      </c>
      <c r="F16" s="9" t="s">
        <v>37</v>
      </c>
    </row>
    <row r="17" customFormat="false" ht="15" hidden="false" customHeight="false" outlineLevel="0" collapsed="false">
      <c r="B17" s="10" t="s">
        <v>50</v>
      </c>
      <c r="C17" s="10" t="s">
        <v>51</v>
      </c>
      <c r="D17" s="10" t="s">
        <v>52</v>
      </c>
      <c r="E17" s="11" t="n">
        <v>900</v>
      </c>
      <c r="F17" s="10" t="s">
        <v>53</v>
      </c>
    </row>
    <row r="18" customFormat="false" ht="15" hidden="false" customHeight="false" outlineLevel="0" collapsed="false">
      <c r="B18" s="10" t="s">
        <v>54</v>
      </c>
      <c r="C18" s="10" t="s">
        <v>55</v>
      </c>
      <c r="D18" s="10" t="s">
        <v>52</v>
      </c>
      <c r="E18" s="11" t="n">
        <v>140</v>
      </c>
      <c r="F18" s="10"/>
    </row>
    <row r="19" customFormat="false" ht="15" hidden="false" customHeight="false" outlineLevel="0" collapsed="false">
      <c r="B19" s="10" t="s">
        <v>56</v>
      </c>
      <c r="C19" s="10" t="s">
        <v>56</v>
      </c>
      <c r="D19" s="10" t="s">
        <v>52</v>
      </c>
      <c r="E19" s="11" t="n">
        <v>320</v>
      </c>
      <c r="F19" s="10"/>
    </row>
    <row r="20" customFormat="false" ht="15" hidden="false" customHeight="false" outlineLevel="0" collapsed="false">
      <c r="B20" s="10" t="s">
        <v>57</v>
      </c>
      <c r="C20" s="10" t="s">
        <v>58</v>
      </c>
      <c r="D20" s="10" t="s">
        <v>52</v>
      </c>
      <c r="E20" s="11" t="n">
        <v>90</v>
      </c>
      <c r="F20" s="10"/>
    </row>
    <row r="21" customFormat="false" ht="15" hidden="false" customHeight="false" outlineLevel="0" collapsed="false">
      <c r="B21" s="10" t="s">
        <v>59</v>
      </c>
      <c r="C21" s="10" t="s">
        <v>59</v>
      </c>
      <c r="D21" s="10" t="s">
        <v>52</v>
      </c>
      <c r="E21" s="11" t="n">
        <v>80</v>
      </c>
      <c r="F21" s="10"/>
    </row>
    <row r="22" customFormat="false" ht="15" hidden="false" customHeight="false" outlineLevel="0" collapsed="false">
      <c r="B22" s="10" t="s">
        <v>60</v>
      </c>
      <c r="C22" s="10" t="s">
        <v>61</v>
      </c>
      <c r="D22" s="10" t="s">
        <v>52</v>
      </c>
      <c r="E22" s="11" t="n">
        <v>150</v>
      </c>
      <c r="F22" s="10"/>
    </row>
    <row r="23" customFormat="false" ht="15" hidden="false" customHeight="false" outlineLevel="0" collapsed="false">
      <c r="B23" s="10" t="s">
        <v>62</v>
      </c>
      <c r="C23" s="10" t="s">
        <v>63</v>
      </c>
      <c r="D23" s="10" t="s">
        <v>52</v>
      </c>
      <c r="E23" s="11" t="n">
        <v>60</v>
      </c>
      <c r="F23" s="10"/>
    </row>
    <row r="24" customFormat="false" ht="15" hidden="false" customHeight="false" outlineLevel="0" collapsed="false">
      <c r="B24" s="10" t="s">
        <v>64</v>
      </c>
      <c r="C24" s="10" t="s">
        <v>65</v>
      </c>
      <c r="D24" s="10" t="s">
        <v>66</v>
      </c>
      <c r="E24" s="11" t="n">
        <v>45</v>
      </c>
      <c r="F24" s="10"/>
    </row>
    <row r="25" customFormat="false" ht="15" hidden="false" customHeight="false" outlineLevel="0" collapsed="false">
      <c r="B25" s="10" t="s">
        <v>67</v>
      </c>
      <c r="C25" s="10" t="s">
        <v>68</v>
      </c>
      <c r="D25" s="10" t="s">
        <v>66</v>
      </c>
      <c r="E25" s="11" t="n">
        <v>120</v>
      </c>
      <c r="F25" s="10"/>
    </row>
    <row r="26" customFormat="false" ht="15" hidden="false" customHeight="false" outlineLevel="0" collapsed="false">
      <c r="B26" s="10" t="s">
        <v>69</v>
      </c>
      <c r="C26" s="10" t="s">
        <v>70</v>
      </c>
      <c r="D26" s="10" t="s">
        <v>66</v>
      </c>
      <c r="E26" s="11" t="n">
        <v>100</v>
      </c>
      <c r="F26" s="10"/>
    </row>
    <row r="27" customFormat="false" ht="15" hidden="false" customHeight="false" outlineLevel="0" collapsed="false">
      <c r="B27" s="10"/>
      <c r="C27" s="10"/>
      <c r="D27" s="10"/>
      <c r="E27" s="11"/>
      <c r="F27" s="10"/>
    </row>
    <row r="28" customFormat="false" ht="15" hidden="false" customHeight="false" outlineLevel="0" collapsed="false">
      <c r="B28" s="10"/>
      <c r="C28" s="10"/>
      <c r="D28" s="10"/>
      <c r="E28" s="11"/>
      <c r="F28" s="10"/>
    </row>
    <row r="29" customFormat="false" ht="15" hidden="false" customHeight="false" outlineLevel="0" collapsed="false">
      <c r="B29" s="10"/>
      <c r="C29" s="10"/>
      <c r="D29" s="10"/>
      <c r="E29" s="11"/>
      <c r="F29" s="10"/>
    </row>
    <row r="30" customFormat="false" ht="15" hidden="false" customHeight="false" outlineLevel="0" collapsed="false">
      <c r="B30" s="10"/>
      <c r="C30" s="10"/>
      <c r="D30" s="10"/>
      <c r="E30" s="11"/>
      <c r="F30" s="10"/>
    </row>
    <row r="31" customFormat="false" ht="15" hidden="false" customHeight="false" outlineLevel="0" collapsed="false">
      <c r="B31" s="10"/>
      <c r="C31" s="10"/>
      <c r="D31" s="10"/>
      <c r="E31" s="11"/>
      <c r="F31" s="10"/>
    </row>
    <row r="32" customFormat="false" ht="15" hidden="false" customHeight="false" outlineLevel="0" collapsed="false">
      <c r="B32" s="10"/>
      <c r="C32" s="10"/>
      <c r="D32" s="10"/>
      <c r="E32" s="11"/>
      <c r="F32" s="10"/>
    </row>
    <row r="33" customFormat="false" ht="15" hidden="false" customHeight="false" outlineLevel="0" collapsed="false">
      <c r="B33" s="10"/>
      <c r="C33" s="10"/>
      <c r="D33" s="10"/>
      <c r="E33" s="11"/>
      <c r="F33" s="10"/>
    </row>
    <row r="34" customFormat="false" ht="15" hidden="false" customHeight="false" outlineLevel="0" collapsed="false">
      <c r="B34" s="10"/>
      <c r="C34" s="10"/>
      <c r="D34" s="10"/>
      <c r="E34" s="11"/>
      <c r="F34" s="10"/>
    </row>
    <row r="35" customFormat="false" ht="15" hidden="false" customHeight="false" outlineLevel="0" collapsed="false">
      <c r="B35" s="10"/>
      <c r="C35" s="10"/>
      <c r="D35" s="10"/>
      <c r="E35" s="11"/>
      <c r="F35" s="10"/>
    </row>
    <row r="36" customFormat="false" ht="15" hidden="false" customHeight="false" outlineLevel="0" collapsed="false">
      <c r="B36" s="10"/>
      <c r="C36" s="10"/>
      <c r="D36" s="10"/>
      <c r="E36" s="11"/>
      <c r="F36" s="10"/>
    </row>
    <row r="37" customFormat="false" ht="15" hidden="false" customHeight="false" outlineLevel="0" collapsed="false">
      <c r="B37" s="10"/>
      <c r="C37" s="10"/>
      <c r="D37" s="10"/>
      <c r="E37" s="11"/>
      <c r="F37" s="10"/>
    </row>
    <row r="38" customFormat="false" ht="15" hidden="false" customHeight="false" outlineLevel="0" collapsed="false">
      <c r="B38" s="10"/>
      <c r="C38" s="10"/>
      <c r="D38" s="10"/>
      <c r="E38" s="11"/>
      <c r="F38" s="10"/>
    </row>
    <row r="39" customFormat="false" ht="15" hidden="false" customHeight="false" outlineLevel="0" collapsed="false">
      <c r="B39" s="10"/>
      <c r="C39" s="10"/>
      <c r="D39" s="10"/>
      <c r="E39" s="11"/>
      <c r="F39" s="10"/>
    </row>
    <row r="40" customFormat="false" ht="15" hidden="false" customHeight="false" outlineLevel="0" collapsed="false">
      <c r="B40" s="10"/>
      <c r="C40" s="10"/>
      <c r="D40" s="10"/>
      <c r="E40" s="11"/>
      <c r="F40" s="10"/>
    </row>
    <row r="41" customFormat="false" ht="15" hidden="false" customHeight="false" outlineLevel="0" collapsed="false">
      <c r="B41" s="10"/>
      <c r="C41" s="10"/>
      <c r="D41" s="10"/>
      <c r="E41" s="11"/>
      <c r="F41" s="10"/>
    </row>
    <row r="42" customFormat="false" ht="15" hidden="false" customHeight="false" outlineLevel="0" collapsed="false">
      <c r="B42" s="10"/>
      <c r="C42" s="10"/>
      <c r="D42" s="10"/>
      <c r="E42" s="11"/>
      <c r="F42" s="10"/>
    </row>
    <row r="43" customFormat="false" ht="15" hidden="false" customHeight="false" outlineLevel="0" collapsed="false">
      <c r="B43" s="10"/>
      <c r="C43" s="10"/>
      <c r="D43" s="10"/>
      <c r="E43" s="11"/>
      <c r="F43" s="10"/>
    </row>
    <row r="44" customFormat="false" ht="15" hidden="false" customHeight="false" outlineLevel="0" collapsed="false">
      <c r="B44" s="10"/>
      <c r="C44" s="10"/>
      <c r="D44" s="10"/>
      <c r="E44" s="11"/>
      <c r="F44" s="10"/>
    </row>
    <row r="45" customFormat="false" ht="15" hidden="false" customHeight="false" outlineLevel="0" collapsed="false">
      <c r="B45" s="10"/>
      <c r="C45" s="10"/>
      <c r="D45" s="10"/>
      <c r="E45" s="11"/>
      <c r="F45" s="10"/>
    </row>
    <row r="46" customFormat="false" ht="15" hidden="false" customHeight="false" outlineLevel="0" collapsed="false">
      <c r="B46" s="10"/>
      <c r="C46" s="10"/>
      <c r="D46" s="10"/>
      <c r="E46" s="11"/>
      <c r="F46" s="10"/>
    </row>
    <row r="47" customFormat="false" ht="15" hidden="false" customHeight="false" outlineLevel="0" collapsed="false">
      <c r="B47" s="10"/>
      <c r="C47" s="10"/>
      <c r="D47" s="10"/>
      <c r="E47" s="11"/>
      <c r="F47" s="10"/>
    </row>
    <row r="48" customFormat="false" ht="15" hidden="false" customHeight="false" outlineLevel="0" collapsed="false">
      <c r="B48" s="10"/>
      <c r="C48" s="10"/>
      <c r="D48" s="10"/>
      <c r="E48" s="11"/>
      <c r="F48" s="10"/>
    </row>
    <row r="49" customFormat="false" ht="15" hidden="false" customHeight="false" outlineLevel="0" collapsed="false">
      <c r="B49" s="10"/>
      <c r="C49" s="10"/>
      <c r="D49" s="10"/>
      <c r="E49" s="11"/>
      <c r="F49" s="10"/>
    </row>
    <row r="50" customFormat="false" ht="15" hidden="false" customHeight="false" outlineLevel="0" collapsed="false">
      <c r="B50" s="10"/>
      <c r="C50" s="10"/>
      <c r="D50" s="10"/>
      <c r="E50" s="11"/>
      <c r="F50" s="10"/>
    </row>
    <row r="51" customFormat="false" ht="15" hidden="false" customHeight="false" outlineLevel="0" collapsed="false">
      <c r="B51" s="10"/>
      <c r="C51" s="10"/>
      <c r="D51" s="10"/>
      <c r="E51" s="11"/>
      <c r="F51" s="10"/>
    </row>
    <row r="52" customFormat="false" ht="15" hidden="false" customHeight="false" outlineLevel="0" collapsed="false">
      <c r="B52" s="10"/>
      <c r="C52" s="10"/>
      <c r="D52" s="10"/>
      <c r="E52" s="11"/>
      <c r="F52" s="10"/>
    </row>
    <row r="53" customFormat="false" ht="15" hidden="false" customHeight="false" outlineLevel="0" collapsed="false">
      <c r="B53" s="10"/>
      <c r="C53" s="10"/>
      <c r="D53" s="10"/>
      <c r="E53" s="11"/>
      <c r="F53" s="10"/>
    </row>
    <row r="54" customFormat="false" ht="15" hidden="false" customHeight="false" outlineLevel="0" collapsed="false">
      <c r="B54" s="10"/>
      <c r="C54" s="10"/>
      <c r="D54" s="10"/>
      <c r="E54" s="11"/>
      <c r="F54" s="10"/>
    </row>
    <row r="55" customFormat="false" ht="15" hidden="false" customHeight="false" outlineLevel="0" collapsed="false">
      <c r="B55" s="10"/>
      <c r="C55" s="10"/>
      <c r="D55" s="10"/>
      <c r="E55" s="11"/>
      <c r="F55" s="10"/>
    </row>
    <row r="56" customFormat="false" ht="15" hidden="false" customHeight="false" outlineLevel="0" collapsed="false">
      <c r="B56" s="10"/>
      <c r="C56" s="10"/>
      <c r="D56" s="10"/>
      <c r="E56" s="11"/>
      <c r="F56" s="10"/>
    </row>
    <row r="58" customFormat="false" ht="15" hidden="false" customHeight="false" outlineLevel="0" collapsed="false">
      <c r="B58" s="4" t="s">
        <v>71</v>
      </c>
      <c r="E58" s="13" t="n">
        <f aca="false">SUMIF(D17:D56,"Need",E17:E56)</f>
        <v>1740</v>
      </c>
    </row>
    <row r="59" customFormat="false" ht="15" hidden="false" customHeight="false" outlineLevel="0" collapsed="false">
      <c r="B59" s="4" t="s">
        <v>72</v>
      </c>
      <c r="E59" s="13" t="n">
        <f aca="false">SUMIF(D17:D56,"Want",E17:E56)</f>
        <v>265</v>
      </c>
    </row>
    <row r="60" customFormat="false" ht="15" hidden="false" customHeight="false" outlineLevel="0" collapsed="false">
      <c r="B60" s="14" t="s">
        <v>73</v>
      </c>
      <c r="E60" s="15" t="n">
        <f aca="false">SUMIF(C17:C56,"Caregiving",E17:E56)</f>
        <v>150</v>
      </c>
    </row>
    <row r="61" customFormat="false" ht="15" hidden="false" customHeight="false" outlineLevel="0" collapsed="false">
      <c r="B61" s="16" t="s">
        <v>74</v>
      </c>
      <c r="E61" s="17" t="n">
        <f aca="false">SUM(E17:E56)-E58-E59</f>
        <v>0</v>
      </c>
    </row>
    <row r="62" customFormat="false" ht="15" hidden="false" customHeight="false" outlineLevel="0" collapsed="false">
      <c r="B62" s="18" t="s">
        <v>75</v>
      </c>
      <c r="E62" s="19" t="n">
        <f aca="false">E13-E58-E59</f>
        <v>555</v>
      </c>
    </row>
    <row r="63" customFormat="false" ht="15" hidden="false" customHeight="false" outlineLevel="0" collapsed="false">
      <c r="B63" s="18" t="s">
        <v>76</v>
      </c>
      <c r="E63" s="20" t="n">
        <f aca="false">IF(E13&gt;0,E62/E13,0)</f>
        <v>0.216796875</v>
      </c>
    </row>
  </sheetData>
  <mergeCells count="2">
    <mergeCell ref="B2:F2"/>
    <mergeCell ref="B3:F3"/>
  </mergeCells>
  <dataValidations count="2">
    <dataValidation allowBlank="true" errorStyle="stop" operator="between" showDropDown="false" showErrorMessage="false" showInputMessage="false" sqref="C17:C56" type="list">
      <formula1>Lists!$A$1:$A$16</formula1>
      <formula2>0</formula2>
    </dataValidation>
    <dataValidation allowBlank="true" errorStyle="stop" operator="between" showDropDown="false" showErrorMessage="false" showInputMessage="false" sqref="D17:D56" type="list">
      <formula1>Lists!$B$1:$B$2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9E9E"/>
    <pageSetUpPr fitToPage="false"/>
  </sheetPr>
  <dimension ref="B2:G35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6" min="5" style="0" width="14"/>
    <col collapsed="false" customWidth="true" hidden="false" outlineLevel="0" max="7" min="7" style="0" width="30"/>
  </cols>
  <sheetData>
    <row r="2" customFormat="false" ht="39.75" hidden="false" customHeight="true" outlineLevel="0" collapsed="false">
      <c r="B2" s="1" t="s">
        <v>14</v>
      </c>
      <c r="C2" s="1"/>
      <c r="D2" s="1"/>
      <c r="E2" s="1"/>
      <c r="F2" s="1"/>
      <c r="G2" s="1"/>
    </row>
    <row r="3" customFormat="false" ht="31.5" hidden="false" customHeight="true" outlineLevel="0" collapsed="false">
      <c r="B3" s="2" t="s">
        <v>77</v>
      </c>
      <c r="C3" s="2"/>
      <c r="D3" s="2"/>
      <c r="E3" s="2"/>
      <c r="F3" s="2"/>
      <c r="G3" s="2"/>
    </row>
    <row r="5" customFormat="false" ht="30" hidden="false" customHeight="true" outlineLevel="0" collapsed="false">
      <c r="B5" s="9" t="s">
        <v>78</v>
      </c>
      <c r="C5" s="9" t="s">
        <v>79</v>
      </c>
      <c r="D5" s="9" t="s">
        <v>80</v>
      </c>
      <c r="E5" s="9" t="s">
        <v>81</v>
      </c>
      <c r="F5" s="9" t="s">
        <v>82</v>
      </c>
      <c r="G5" s="9" t="s">
        <v>83</v>
      </c>
    </row>
    <row r="6" customFormat="false" ht="15" hidden="false" customHeight="false" outlineLevel="0" collapsed="false">
      <c r="B6" s="10" t="s">
        <v>84</v>
      </c>
      <c r="C6" s="11" t="n">
        <v>13</v>
      </c>
      <c r="D6" s="10" t="s">
        <v>85</v>
      </c>
      <c r="E6" s="11" t="n">
        <v>0</v>
      </c>
      <c r="F6" s="21" t="n">
        <f aca="false">IF(OR(C6="",D6="",D6="Keep"),0,MAX(0,C6-N(E6)))</f>
        <v>13</v>
      </c>
      <c r="G6" s="10" t="s">
        <v>86</v>
      </c>
    </row>
    <row r="7" customFormat="false" ht="15" hidden="false" customHeight="false" outlineLevel="0" collapsed="false">
      <c r="B7" s="10" t="s">
        <v>87</v>
      </c>
      <c r="C7" s="11" t="n">
        <v>35</v>
      </c>
      <c r="D7" s="10" t="s">
        <v>88</v>
      </c>
      <c r="E7" s="11" t="n">
        <v>15</v>
      </c>
      <c r="F7" s="21" t="n">
        <f aca="false">IF(OR(C7="",D7="",D7="Keep"),0,MAX(0,C7-N(E7)))</f>
        <v>20</v>
      </c>
      <c r="G7" s="10" t="s">
        <v>89</v>
      </c>
    </row>
    <row r="8" customFormat="false" ht="15" hidden="false" customHeight="false" outlineLevel="0" collapsed="false">
      <c r="B8" s="10" t="s">
        <v>90</v>
      </c>
      <c r="C8" s="11" t="n">
        <v>40</v>
      </c>
      <c r="D8" s="10" t="s">
        <v>91</v>
      </c>
      <c r="E8" s="11" t="n">
        <v>25</v>
      </c>
      <c r="F8" s="21" t="n">
        <f aca="false">IF(OR(C8="",D8="",D8="Keep"),0,MAX(0,C8-N(E8)))</f>
        <v>15</v>
      </c>
      <c r="G8" s="10" t="s">
        <v>92</v>
      </c>
    </row>
    <row r="9" customFormat="false" ht="15" hidden="false" customHeight="false" outlineLevel="0" collapsed="false">
      <c r="B9" s="10" t="s">
        <v>93</v>
      </c>
      <c r="C9" s="11" t="n">
        <v>3</v>
      </c>
      <c r="D9" s="10" t="s">
        <v>94</v>
      </c>
      <c r="E9" s="11" t="n">
        <v>3</v>
      </c>
      <c r="F9" s="21" t="n">
        <f aca="false">IF(OR(C9="",D9="",D9="Keep"),0,MAX(0,C9-N(E9)))</f>
        <v>0</v>
      </c>
      <c r="G9" s="10"/>
    </row>
    <row r="10" customFormat="false" ht="15" hidden="false" customHeight="false" outlineLevel="0" collapsed="false">
      <c r="B10" s="10"/>
      <c r="C10" s="11"/>
      <c r="D10" s="10"/>
      <c r="E10" s="11"/>
      <c r="F10" s="21" t="n">
        <f aca="false">IF(OR(C10="",D10="",D10="Keep"),0,MAX(0,C10-N(E10)))</f>
        <v>0</v>
      </c>
      <c r="G10" s="10"/>
    </row>
    <row r="11" customFormat="false" ht="15" hidden="false" customHeight="false" outlineLevel="0" collapsed="false">
      <c r="B11" s="10"/>
      <c r="C11" s="11"/>
      <c r="D11" s="10"/>
      <c r="E11" s="11"/>
      <c r="F11" s="21" t="n">
        <f aca="false">IF(OR(C11="",D11="",D11="Keep"),0,MAX(0,C11-N(E11)))</f>
        <v>0</v>
      </c>
      <c r="G11" s="10"/>
    </row>
    <row r="12" customFormat="false" ht="15" hidden="false" customHeight="false" outlineLevel="0" collapsed="false">
      <c r="B12" s="10"/>
      <c r="C12" s="11"/>
      <c r="D12" s="10"/>
      <c r="E12" s="11"/>
      <c r="F12" s="21" t="n">
        <f aca="false">IF(OR(C12="",D12="",D12="Keep"),0,MAX(0,C12-N(E12)))</f>
        <v>0</v>
      </c>
      <c r="G12" s="10"/>
    </row>
    <row r="13" customFormat="false" ht="15" hidden="false" customHeight="false" outlineLevel="0" collapsed="false">
      <c r="B13" s="10"/>
      <c r="C13" s="11"/>
      <c r="D13" s="10"/>
      <c r="E13" s="11"/>
      <c r="F13" s="21" t="n">
        <f aca="false">IF(OR(C13="",D13="",D13="Keep"),0,MAX(0,C13-N(E13)))</f>
        <v>0</v>
      </c>
      <c r="G13" s="10"/>
    </row>
    <row r="14" customFormat="false" ht="15" hidden="false" customHeight="false" outlineLevel="0" collapsed="false">
      <c r="B14" s="10"/>
      <c r="C14" s="11"/>
      <c r="D14" s="10"/>
      <c r="E14" s="11"/>
      <c r="F14" s="21" t="n">
        <f aca="false">IF(OR(C14="",D14="",D14="Keep"),0,MAX(0,C14-N(E14)))</f>
        <v>0</v>
      </c>
      <c r="G14" s="10"/>
    </row>
    <row r="15" customFormat="false" ht="15" hidden="false" customHeight="false" outlineLevel="0" collapsed="false">
      <c r="B15" s="10"/>
      <c r="C15" s="11"/>
      <c r="D15" s="10"/>
      <c r="E15" s="11"/>
      <c r="F15" s="21" t="n">
        <f aca="false">IF(OR(C15="",D15="",D15="Keep"),0,MAX(0,C15-N(E15)))</f>
        <v>0</v>
      </c>
      <c r="G15" s="10"/>
    </row>
    <row r="16" customFormat="false" ht="15" hidden="false" customHeight="false" outlineLevel="0" collapsed="false">
      <c r="B16" s="10"/>
      <c r="C16" s="11"/>
      <c r="D16" s="10"/>
      <c r="E16" s="11"/>
      <c r="F16" s="21" t="n">
        <f aca="false">IF(OR(C16="",D16="",D16="Keep"),0,MAX(0,C16-N(E16)))</f>
        <v>0</v>
      </c>
      <c r="G16" s="10"/>
    </row>
    <row r="17" customFormat="false" ht="15" hidden="false" customHeight="false" outlineLevel="0" collapsed="false">
      <c r="B17" s="10"/>
      <c r="C17" s="11"/>
      <c r="D17" s="10"/>
      <c r="E17" s="11"/>
      <c r="F17" s="21" t="n">
        <f aca="false">IF(OR(C17="",D17="",D17="Keep"),0,MAX(0,C17-N(E17)))</f>
        <v>0</v>
      </c>
      <c r="G17" s="10"/>
    </row>
    <row r="18" customFormat="false" ht="15" hidden="false" customHeight="false" outlineLevel="0" collapsed="false">
      <c r="B18" s="10"/>
      <c r="C18" s="11"/>
      <c r="D18" s="10"/>
      <c r="E18" s="11"/>
      <c r="F18" s="21" t="n">
        <f aca="false">IF(OR(C18="",D18="",D18="Keep"),0,MAX(0,C18-N(E18)))</f>
        <v>0</v>
      </c>
      <c r="G18" s="10"/>
    </row>
    <row r="19" customFormat="false" ht="15" hidden="false" customHeight="false" outlineLevel="0" collapsed="false">
      <c r="B19" s="10"/>
      <c r="C19" s="11"/>
      <c r="D19" s="10"/>
      <c r="E19" s="11"/>
      <c r="F19" s="21" t="n">
        <f aca="false">IF(OR(C19="",D19="",D19="Keep"),0,MAX(0,C19-N(E19)))</f>
        <v>0</v>
      </c>
      <c r="G19" s="10"/>
    </row>
    <row r="20" customFormat="false" ht="15" hidden="false" customHeight="false" outlineLevel="0" collapsed="false">
      <c r="B20" s="10"/>
      <c r="C20" s="11"/>
      <c r="D20" s="10"/>
      <c r="E20" s="11"/>
      <c r="F20" s="21" t="n">
        <f aca="false">IF(OR(C20="",D20="",D20="Keep"),0,MAX(0,C20-N(E20)))</f>
        <v>0</v>
      </c>
      <c r="G20" s="10"/>
    </row>
    <row r="21" customFormat="false" ht="15" hidden="false" customHeight="false" outlineLevel="0" collapsed="false">
      <c r="B21" s="10"/>
      <c r="C21" s="11"/>
      <c r="D21" s="10"/>
      <c r="E21" s="11"/>
      <c r="F21" s="21" t="n">
        <f aca="false">IF(OR(C21="",D21="",D21="Keep"),0,MAX(0,C21-N(E21)))</f>
        <v>0</v>
      </c>
      <c r="G21" s="10"/>
    </row>
    <row r="22" customFormat="false" ht="15" hidden="false" customHeight="false" outlineLevel="0" collapsed="false">
      <c r="B22" s="10"/>
      <c r="C22" s="11"/>
      <c r="D22" s="10"/>
      <c r="E22" s="11"/>
      <c r="F22" s="21" t="n">
        <f aca="false">IF(OR(C22="",D22="",D22="Keep"),0,MAX(0,C22-N(E22)))</f>
        <v>0</v>
      </c>
      <c r="G22" s="10"/>
    </row>
    <row r="23" customFormat="false" ht="15" hidden="false" customHeight="false" outlineLevel="0" collapsed="false">
      <c r="B23" s="10"/>
      <c r="C23" s="11"/>
      <c r="D23" s="10"/>
      <c r="E23" s="11"/>
      <c r="F23" s="21" t="n">
        <f aca="false">IF(OR(C23="",D23="",D23="Keep"),0,MAX(0,C23-N(E23)))</f>
        <v>0</v>
      </c>
      <c r="G23" s="10"/>
    </row>
    <row r="24" customFormat="false" ht="15" hidden="false" customHeight="false" outlineLevel="0" collapsed="false">
      <c r="B24" s="10"/>
      <c r="C24" s="11"/>
      <c r="D24" s="10"/>
      <c r="E24" s="11"/>
      <c r="F24" s="21" t="n">
        <f aca="false">IF(OR(C24="",D24="",D24="Keep"),0,MAX(0,C24-N(E24)))</f>
        <v>0</v>
      </c>
      <c r="G24" s="10"/>
    </row>
    <row r="25" customFormat="false" ht="15" hidden="false" customHeight="false" outlineLevel="0" collapsed="false">
      <c r="B25" s="10"/>
      <c r="C25" s="11"/>
      <c r="D25" s="10"/>
      <c r="E25" s="11"/>
      <c r="F25" s="21" t="n">
        <f aca="false">IF(OR(C25="",D25="",D25="Keep"),0,MAX(0,C25-N(E25)))</f>
        <v>0</v>
      </c>
      <c r="G25" s="10"/>
    </row>
    <row r="26" customFormat="false" ht="15" hidden="false" customHeight="false" outlineLevel="0" collapsed="false">
      <c r="B26" s="10"/>
      <c r="C26" s="11"/>
      <c r="D26" s="10"/>
      <c r="E26" s="11"/>
      <c r="F26" s="21" t="n">
        <f aca="false">IF(OR(C26="",D26="",D26="Keep"),0,MAX(0,C26-N(E26)))</f>
        <v>0</v>
      </c>
      <c r="G26" s="10"/>
    </row>
    <row r="27" customFormat="false" ht="15" hidden="false" customHeight="false" outlineLevel="0" collapsed="false">
      <c r="B27" s="10"/>
      <c r="C27" s="11"/>
      <c r="D27" s="10"/>
      <c r="E27" s="11"/>
      <c r="F27" s="21" t="n">
        <f aca="false">IF(OR(C27="",D27="",D27="Keep"),0,MAX(0,C27-N(E27)))</f>
        <v>0</v>
      </c>
      <c r="G27" s="10"/>
    </row>
    <row r="28" customFormat="false" ht="15" hidden="false" customHeight="false" outlineLevel="0" collapsed="false">
      <c r="B28" s="10"/>
      <c r="C28" s="11"/>
      <c r="D28" s="10"/>
      <c r="E28" s="11"/>
      <c r="F28" s="21" t="n">
        <f aca="false">IF(OR(C28="",D28="",D28="Keep"),0,MAX(0,C28-N(E28)))</f>
        <v>0</v>
      </c>
      <c r="G28" s="10"/>
    </row>
    <row r="29" customFormat="false" ht="15" hidden="false" customHeight="false" outlineLevel="0" collapsed="false">
      <c r="B29" s="10"/>
      <c r="C29" s="11"/>
      <c r="D29" s="10"/>
      <c r="E29" s="11"/>
      <c r="F29" s="21" t="n">
        <f aca="false">IF(OR(C29="",D29="",D29="Keep"),0,MAX(0,C29-N(E29)))</f>
        <v>0</v>
      </c>
      <c r="G29" s="10"/>
    </row>
    <row r="30" customFormat="false" ht="15" hidden="false" customHeight="false" outlineLevel="0" collapsed="false">
      <c r="B30" s="10"/>
      <c r="C30" s="11"/>
      <c r="D30" s="10"/>
      <c r="E30" s="11"/>
      <c r="F30" s="21" t="n">
        <f aca="false">IF(OR(C30="",D30="",D30="Keep"),0,MAX(0,C30-N(E30)))</f>
        <v>0</v>
      </c>
      <c r="G30" s="10"/>
    </row>
    <row r="32" customFormat="false" ht="15" hidden="false" customHeight="false" outlineLevel="0" collapsed="false">
      <c r="B32" s="4" t="s">
        <v>95</v>
      </c>
      <c r="F32" s="19" t="n">
        <f aca="false">SUM(F6:F30)</f>
        <v>48</v>
      </c>
    </row>
    <row r="33" customFormat="false" ht="15" hidden="false" customHeight="false" outlineLevel="0" collapsed="false">
      <c r="B33" s="4" t="s">
        <v>96</v>
      </c>
      <c r="F33" s="19" t="n">
        <f aca="false">F32*12</f>
        <v>576</v>
      </c>
    </row>
    <row r="35" customFormat="false" ht="30" hidden="false" customHeight="true" outlineLevel="0" collapsed="false">
      <c r="B35" s="22" t="s">
        <v>97</v>
      </c>
      <c r="C35" s="22"/>
      <c r="D35" s="22"/>
      <c r="E35" s="22"/>
      <c r="F35" s="22"/>
      <c r="G35" s="22"/>
    </row>
  </sheetData>
  <mergeCells count="3">
    <mergeCell ref="B2:G2"/>
    <mergeCell ref="B3:G3"/>
    <mergeCell ref="B35:G35"/>
  </mergeCells>
  <dataValidations count="1">
    <dataValidation allowBlank="true" errorStyle="stop" operator="between" showDropDown="false" showErrorMessage="false" showInputMessage="false" sqref="D6:D30" type="list">
      <formula1>Lists!$C$1:$C$4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9E9E"/>
    <pageSetUpPr fitToPage="false"/>
  </sheetPr>
  <dimension ref="B2:I3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2"/>
  </cols>
  <sheetData>
    <row r="2" customFormat="false" ht="39.75" hidden="false" customHeight="true" outlineLevel="0" collapsed="false">
      <c r="B2" s="1" t="s">
        <v>16</v>
      </c>
      <c r="C2" s="1"/>
      <c r="D2" s="1"/>
      <c r="E2" s="1"/>
      <c r="F2" s="1"/>
      <c r="G2" s="1"/>
      <c r="H2" s="1"/>
      <c r="I2" s="1"/>
    </row>
    <row r="3" customFormat="false" ht="31.5" hidden="false" customHeight="true" outlineLevel="0" collapsed="false">
      <c r="B3" s="2" t="s">
        <v>98</v>
      </c>
      <c r="C3" s="2"/>
      <c r="D3" s="2"/>
      <c r="E3" s="2"/>
      <c r="F3" s="2"/>
      <c r="G3" s="2"/>
      <c r="H3" s="2"/>
      <c r="I3" s="2"/>
    </row>
    <row r="5" customFormat="false" ht="30" hidden="false" customHeight="true" outlineLevel="0" collapsed="false">
      <c r="B5" s="9" t="s">
        <v>99</v>
      </c>
      <c r="C5" s="9" t="s">
        <v>100</v>
      </c>
      <c r="D5" s="9" t="s">
        <v>101</v>
      </c>
      <c r="E5" s="9" t="s">
        <v>102</v>
      </c>
      <c r="F5" s="9" t="s">
        <v>103</v>
      </c>
      <c r="G5" s="9" t="s">
        <v>104</v>
      </c>
      <c r="H5" s="9" t="s">
        <v>105</v>
      </c>
      <c r="I5" s="9" t="s">
        <v>106</v>
      </c>
    </row>
    <row r="6" customFormat="false" ht="15" hidden="false" customHeight="false" outlineLevel="0" collapsed="false">
      <c r="B6" s="10" t="s">
        <v>107</v>
      </c>
      <c r="C6" s="11" t="n">
        <v>1500</v>
      </c>
      <c r="D6" s="23" t="n">
        <v>0.199</v>
      </c>
      <c r="E6" s="11" t="n">
        <v>60</v>
      </c>
      <c r="F6" s="11" t="n">
        <v>40</v>
      </c>
      <c r="G6" s="24" t="n">
        <f aca="false">IF(N(C6)&gt;0,C6*N(D6)/12,0)</f>
        <v>24.875</v>
      </c>
      <c r="H6" s="25" t="n">
        <f aca="false">IF(N(C6)&lt;=0,"",IF(N(E6)+N(F6)&lt;=G6,"Payment too low",ROUNDUP(IF(N(D6)=0,C6/(N(E6)+N(F6)),NPER(D6/12,-(N(E6)+N(F6)),C6)),0)))</f>
        <v>18</v>
      </c>
      <c r="I6" s="26" t="n">
        <f aca="false">IF(N(C6)&lt;=0,"",COUNTIFS($C$6:$C$15,"&gt;0",$D$6:$D$15,"&gt;"&amp;N(D6))+1)</f>
        <v>1</v>
      </c>
    </row>
    <row r="7" customFormat="false" ht="15" hidden="false" customHeight="false" outlineLevel="0" collapsed="false">
      <c r="B7" s="10" t="s">
        <v>108</v>
      </c>
      <c r="C7" s="11" t="n">
        <v>0</v>
      </c>
      <c r="D7" s="23" t="n">
        <v>0.12</v>
      </c>
      <c r="E7" s="11" t="n">
        <v>0</v>
      </c>
      <c r="F7" s="11" t="n">
        <v>0</v>
      </c>
      <c r="G7" s="24" t="n">
        <f aca="false">IF(N(C7)&gt;0,C7*N(D7)/12,0)</f>
        <v>0</v>
      </c>
      <c r="H7" s="25" t="str">
        <f aca="false">IF(N(C7)&lt;=0,"",IF(N(E7)+N(F7)&lt;=G7,"Payment too low",ROUNDUP(IF(N(D7)=0,C7/(N(E7)+N(F7)),NPER(D7/12,-(N(E7)+N(F7)),C7)),0)))</f>
        <v/>
      </c>
      <c r="I7" s="26" t="str">
        <f aca="false">IF(N(C7)&lt;=0,"",COUNTIFS($C$6:$C$15,"&gt;0",$D$6:$D$15,"&gt;"&amp;N(D7))+1)</f>
        <v/>
      </c>
    </row>
    <row r="8" customFormat="false" ht="15" hidden="false" customHeight="false" outlineLevel="0" collapsed="false">
      <c r="B8" s="10"/>
      <c r="C8" s="11"/>
      <c r="D8" s="23"/>
      <c r="E8" s="11"/>
      <c r="F8" s="11"/>
      <c r="G8" s="24" t="n">
        <f aca="false">IF(N(C8)&gt;0,C8*N(D8)/12,0)</f>
        <v>0</v>
      </c>
      <c r="H8" s="25" t="str">
        <f aca="false">IF(N(C8)&lt;=0,"",IF(N(E8)+N(F8)&lt;=G8,"Payment too low",ROUNDUP(IF(N(D8)=0,C8/(N(E8)+N(F8)),NPER(D8/12,-(N(E8)+N(F8)),C8)),0)))</f>
        <v/>
      </c>
      <c r="I8" s="26" t="str">
        <f aca="false">IF(N(C8)&lt;=0,"",COUNTIFS($C$6:$C$15,"&gt;0",$D$6:$D$15,"&gt;"&amp;N(D8))+1)</f>
        <v/>
      </c>
    </row>
    <row r="9" customFormat="false" ht="15" hidden="false" customHeight="false" outlineLevel="0" collapsed="false">
      <c r="B9" s="10"/>
      <c r="C9" s="11"/>
      <c r="D9" s="23"/>
      <c r="E9" s="11"/>
      <c r="F9" s="11"/>
      <c r="G9" s="24" t="n">
        <f aca="false">IF(N(C9)&gt;0,C9*N(D9)/12,0)</f>
        <v>0</v>
      </c>
      <c r="H9" s="25" t="str">
        <f aca="false">IF(N(C9)&lt;=0,"",IF(N(E9)+N(F9)&lt;=G9,"Payment too low",ROUNDUP(IF(N(D9)=0,C9/(N(E9)+N(F9)),NPER(D9/12,-(N(E9)+N(F9)),C9)),0)))</f>
        <v/>
      </c>
      <c r="I9" s="26" t="str">
        <f aca="false">IF(N(C9)&lt;=0,"",COUNTIFS($C$6:$C$15,"&gt;0",$D$6:$D$15,"&gt;"&amp;N(D9))+1)</f>
        <v/>
      </c>
    </row>
    <row r="10" customFormat="false" ht="15" hidden="false" customHeight="false" outlineLevel="0" collapsed="false">
      <c r="B10" s="10"/>
      <c r="C10" s="11"/>
      <c r="D10" s="23"/>
      <c r="E10" s="11"/>
      <c r="F10" s="11"/>
      <c r="G10" s="24" t="n">
        <f aca="false">IF(N(C10)&gt;0,C10*N(D10)/12,0)</f>
        <v>0</v>
      </c>
      <c r="H10" s="25" t="str">
        <f aca="false">IF(N(C10)&lt;=0,"",IF(N(E10)+N(F10)&lt;=G10,"Payment too low",ROUNDUP(IF(N(D10)=0,C10/(N(E10)+N(F10)),NPER(D10/12,-(N(E10)+N(F10)),C10)),0)))</f>
        <v/>
      </c>
      <c r="I10" s="26" t="str">
        <f aca="false">IF(N(C10)&lt;=0,"",COUNTIFS($C$6:$C$15,"&gt;0",$D$6:$D$15,"&gt;"&amp;N(D10))+1)</f>
        <v/>
      </c>
    </row>
    <row r="11" customFormat="false" ht="15" hidden="false" customHeight="false" outlineLevel="0" collapsed="false">
      <c r="B11" s="10"/>
      <c r="C11" s="11"/>
      <c r="D11" s="23"/>
      <c r="E11" s="11"/>
      <c r="F11" s="11"/>
      <c r="G11" s="24" t="n">
        <f aca="false">IF(N(C11)&gt;0,C11*N(D11)/12,0)</f>
        <v>0</v>
      </c>
      <c r="H11" s="25" t="str">
        <f aca="false">IF(N(C11)&lt;=0,"",IF(N(E11)+N(F11)&lt;=G11,"Payment too low",ROUNDUP(IF(N(D11)=0,C11/(N(E11)+N(F11)),NPER(D11/12,-(N(E11)+N(F11)),C11)),0)))</f>
        <v/>
      </c>
      <c r="I11" s="26" t="str">
        <f aca="false">IF(N(C11)&lt;=0,"",COUNTIFS($C$6:$C$15,"&gt;0",$D$6:$D$15,"&gt;"&amp;N(D11))+1)</f>
        <v/>
      </c>
    </row>
    <row r="12" customFormat="false" ht="15" hidden="false" customHeight="false" outlineLevel="0" collapsed="false">
      <c r="B12" s="10"/>
      <c r="C12" s="11"/>
      <c r="D12" s="23"/>
      <c r="E12" s="11"/>
      <c r="F12" s="11"/>
      <c r="G12" s="24" t="n">
        <f aca="false">IF(N(C12)&gt;0,C12*N(D12)/12,0)</f>
        <v>0</v>
      </c>
      <c r="H12" s="25" t="str">
        <f aca="false">IF(N(C12)&lt;=0,"",IF(N(E12)+N(F12)&lt;=G12,"Payment too low",ROUNDUP(IF(N(D12)=0,C12/(N(E12)+N(F12)),NPER(D12/12,-(N(E12)+N(F12)),C12)),0)))</f>
        <v/>
      </c>
      <c r="I12" s="26" t="str">
        <f aca="false">IF(N(C12)&lt;=0,"",COUNTIFS($C$6:$C$15,"&gt;0",$D$6:$D$15,"&gt;"&amp;N(D12))+1)</f>
        <v/>
      </c>
    </row>
    <row r="13" customFormat="false" ht="15" hidden="false" customHeight="false" outlineLevel="0" collapsed="false">
      <c r="B13" s="10"/>
      <c r="C13" s="11"/>
      <c r="D13" s="23"/>
      <c r="E13" s="11"/>
      <c r="F13" s="11"/>
      <c r="G13" s="24" t="n">
        <f aca="false">IF(N(C13)&gt;0,C13*N(D13)/12,0)</f>
        <v>0</v>
      </c>
      <c r="H13" s="25" t="str">
        <f aca="false">IF(N(C13)&lt;=0,"",IF(N(E13)+N(F13)&lt;=G13,"Payment too low",ROUNDUP(IF(N(D13)=0,C13/(N(E13)+N(F13)),NPER(D13/12,-(N(E13)+N(F13)),C13)),0)))</f>
        <v/>
      </c>
      <c r="I13" s="26" t="str">
        <f aca="false">IF(N(C13)&lt;=0,"",COUNTIFS($C$6:$C$15,"&gt;0",$D$6:$D$15,"&gt;"&amp;N(D13))+1)</f>
        <v/>
      </c>
    </row>
    <row r="14" customFormat="false" ht="15" hidden="false" customHeight="false" outlineLevel="0" collapsed="false">
      <c r="B14" s="10"/>
      <c r="C14" s="11"/>
      <c r="D14" s="23"/>
      <c r="E14" s="11"/>
      <c r="F14" s="11"/>
      <c r="G14" s="24" t="n">
        <f aca="false">IF(N(C14)&gt;0,C14*N(D14)/12,0)</f>
        <v>0</v>
      </c>
      <c r="H14" s="25" t="str">
        <f aca="false">IF(N(C14)&lt;=0,"",IF(N(E14)+N(F14)&lt;=G14,"Payment too low",ROUNDUP(IF(N(D14)=0,C14/(N(E14)+N(F14)),NPER(D14/12,-(N(E14)+N(F14)),C14)),0)))</f>
        <v/>
      </c>
      <c r="I14" s="26" t="str">
        <f aca="false">IF(N(C14)&lt;=0,"",COUNTIFS($C$6:$C$15,"&gt;0",$D$6:$D$15,"&gt;"&amp;N(D14))+1)</f>
        <v/>
      </c>
    </row>
    <row r="15" customFormat="false" ht="15" hidden="false" customHeight="false" outlineLevel="0" collapsed="false">
      <c r="B15" s="10"/>
      <c r="C15" s="11"/>
      <c r="D15" s="23"/>
      <c r="E15" s="11"/>
      <c r="F15" s="11"/>
      <c r="G15" s="24" t="n">
        <f aca="false">IF(N(C15)&gt;0,C15*N(D15)/12,0)</f>
        <v>0</v>
      </c>
      <c r="H15" s="25" t="str">
        <f aca="false">IF(N(C15)&lt;=0,"",IF(N(E15)+N(F15)&lt;=G15,"Payment too low",ROUNDUP(IF(N(D15)=0,C15/(N(E15)+N(F15)),NPER(D15/12,-(N(E15)+N(F15)),C15)),0)))</f>
        <v/>
      </c>
      <c r="I15" s="26" t="str">
        <f aca="false">IF(N(C15)&lt;=0,"",COUNTIFS($C$6:$C$15,"&gt;0",$D$6:$D$15,"&gt;"&amp;N(D15))+1)</f>
        <v/>
      </c>
    </row>
    <row r="17" customFormat="false" ht="15" hidden="false" customHeight="true" outlineLevel="0" collapsed="false">
      <c r="B17" s="4" t="s">
        <v>109</v>
      </c>
      <c r="C17" s="27" t="n">
        <f aca="false">SUM(C6:C15)</f>
        <v>1500</v>
      </c>
      <c r="D17" s="22" t="s">
        <v>110</v>
      </c>
      <c r="E17" s="22"/>
      <c r="F17" s="22"/>
      <c r="G17" s="22"/>
      <c r="H17" s="22"/>
      <c r="I17" s="22"/>
    </row>
    <row r="18" customFormat="false" ht="15" hidden="false" customHeight="false" outlineLevel="0" collapsed="false">
      <c r="B18" s="4" t="s">
        <v>111</v>
      </c>
      <c r="C18" s="28" t="n">
        <f aca="false">SUM(G6:G15)</f>
        <v>24.875</v>
      </c>
      <c r="D18" s="22"/>
      <c r="E18" s="22"/>
      <c r="F18" s="22"/>
      <c r="G18" s="22"/>
      <c r="H18" s="22"/>
      <c r="I18" s="22"/>
    </row>
    <row r="19" customFormat="false" ht="15" hidden="false" customHeight="false" outlineLevel="0" collapsed="false">
      <c r="B19" s="4" t="s">
        <v>112</v>
      </c>
      <c r="C19" s="27" t="n">
        <f aca="false">C18*12</f>
        <v>298.5</v>
      </c>
      <c r="D19" s="22"/>
      <c r="E19" s="22"/>
      <c r="F19" s="22"/>
      <c r="G19" s="22"/>
      <c r="H19" s="22"/>
      <c r="I19" s="22"/>
    </row>
    <row r="22" customFormat="false" ht="15" hidden="false" customHeight="false" outlineLevel="0" collapsed="false">
      <c r="B22" s="8" t="s">
        <v>113</v>
      </c>
    </row>
    <row r="23" customFormat="false" ht="30" hidden="false" customHeight="true" outlineLevel="0" collapsed="false">
      <c r="B23" s="9" t="s">
        <v>114</v>
      </c>
      <c r="C23" s="9" t="s">
        <v>115</v>
      </c>
    </row>
    <row r="24" customFormat="false" ht="15" hidden="false" customHeight="true" outlineLevel="0" collapsed="false">
      <c r="B24" s="5" t="s">
        <v>116</v>
      </c>
      <c r="C24" s="29" t="n">
        <f aca="false">'T · Track'!E7</f>
        <v>2500</v>
      </c>
      <c r="D24" s="22" t="s">
        <v>117</v>
      </c>
      <c r="E24" s="22"/>
      <c r="F24" s="22"/>
      <c r="G24" s="22"/>
      <c r="H24" s="22"/>
      <c r="I24" s="22"/>
    </row>
    <row r="25" customFormat="false" ht="15" hidden="false" customHeight="false" outlineLevel="0" collapsed="false">
      <c r="B25" s="5" t="s">
        <v>118</v>
      </c>
      <c r="C25" s="30" t="n">
        <v>39</v>
      </c>
      <c r="D25" s="22"/>
      <c r="E25" s="22"/>
      <c r="F25" s="22"/>
      <c r="G25" s="22"/>
      <c r="H25" s="22"/>
      <c r="I25" s="22"/>
    </row>
    <row r="26" customFormat="false" ht="15" hidden="false" customHeight="false" outlineLevel="0" collapsed="false">
      <c r="B26" s="5" t="s">
        <v>119</v>
      </c>
      <c r="C26" s="30" t="n">
        <v>4</v>
      </c>
      <c r="D26" s="22"/>
      <c r="E26" s="22"/>
      <c r="F26" s="22"/>
      <c r="G26" s="22"/>
      <c r="H26" s="22"/>
      <c r="I26" s="22"/>
    </row>
    <row r="27" customFormat="false" ht="15" hidden="false" customHeight="false" outlineLevel="0" collapsed="false">
      <c r="B27" s="5" t="s">
        <v>120</v>
      </c>
      <c r="C27" s="30" t="n">
        <v>5</v>
      </c>
      <c r="D27" s="22"/>
      <c r="E27" s="22"/>
      <c r="F27" s="22"/>
      <c r="G27" s="22"/>
      <c r="H27" s="22"/>
      <c r="I27" s="22"/>
    </row>
    <row r="28" customFormat="false" ht="15" hidden="false" customHeight="false" outlineLevel="0" collapsed="false">
      <c r="B28" s="31" t="s">
        <v>121</v>
      </c>
      <c r="C28" s="32" t="n">
        <f aca="false">(N(C25)+N(C26)+N(C27))*52/12</f>
        <v>208</v>
      </c>
      <c r="D28" s="22"/>
      <c r="E28" s="22"/>
      <c r="F28" s="22"/>
      <c r="G28" s="22"/>
      <c r="H28" s="22"/>
      <c r="I28" s="22"/>
    </row>
    <row r="29" customFormat="false" ht="15" hidden="false" customHeight="true" outlineLevel="0" collapsed="false">
      <c r="B29" s="18" t="s">
        <v>122</v>
      </c>
      <c r="C29" s="33" t="n">
        <f aca="false">IF(C28&gt;0,C24/C28,0)</f>
        <v>12.0192307692308</v>
      </c>
      <c r="D29" s="22" t="s">
        <v>123</v>
      </c>
      <c r="E29" s="22"/>
      <c r="F29" s="22"/>
      <c r="G29" s="22"/>
      <c r="H29" s="22"/>
      <c r="I29" s="22"/>
    </row>
    <row r="30" customFormat="false" ht="15" hidden="false" customHeight="false" outlineLevel="0" collapsed="false">
      <c r="B30" s="5" t="s">
        <v>124</v>
      </c>
      <c r="C30" s="34" t="n">
        <v>21</v>
      </c>
      <c r="D30" s="22"/>
      <c r="E30" s="22"/>
      <c r="F30" s="22"/>
      <c r="G30" s="22"/>
      <c r="H30" s="22"/>
      <c r="I30" s="22"/>
    </row>
    <row r="31" customFormat="false" ht="15" hidden="false" customHeight="false" outlineLevel="0" collapsed="false">
      <c r="B31" s="18" t="s">
        <v>125</v>
      </c>
      <c r="C31" s="19" t="n">
        <f aca="false">C29*N(C30)</f>
        <v>252.403846153846</v>
      </c>
      <c r="D31" s="22"/>
      <c r="E31" s="22"/>
      <c r="F31" s="22"/>
      <c r="G31" s="22"/>
      <c r="H31" s="22"/>
      <c r="I31" s="22"/>
    </row>
  </sheetData>
  <mergeCells count="5">
    <mergeCell ref="B2:I2"/>
    <mergeCell ref="B3:I3"/>
    <mergeCell ref="D17:I19"/>
    <mergeCell ref="D24:I28"/>
    <mergeCell ref="D29:I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9E9E"/>
    <pageSetUpPr fitToPage="false"/>
  </sheetPr>
  <dimension ref="B2:G3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5"/>
    <col collapsed="false" customWidth="true" hidden="false" outlineLevel="0" max="7" min="7" style="0" width="14"/>
  </cols>
  <sheetData>
    <row r="2" customFormat="false" ht="39.75" hidden="false" customHeight="true" outlineLevel="0" collapsed="false">
      <c r="B2" s="1" t="s">
        <v>18</v>
      </c>
      <c r="C2" s="1"/>
      <c r="D2" s="1"/>
      <c r="E2" s="1"/>
      <c r="F2" s="1"/>
      <c r="G2" s="1"/>
    </row>
    <row r="3" customFormat="false" ht="31.5" hidden="false" customHeight="true" outlineLevel="0" collapsed="false">
      <c r="B3" s="2" t="s">
        <v>126</v>
      </c>
      <c r="C3" s="2"/>
      <c r="D3" s="2"/>
      <c r="E3" s="2"/>
      <c r="F3" s="2"/>
      <c r="G3" s="2"/>
    </row>
    <row r="5" customFormat="false" ht="15" hidden="false" customHeight="false" outlineLevel="0" collapsed="false">
      <c r="B5" s="8" t="s">
        <v>127</v>
      </c>
    </row>
    <row r="6" customFormat="false" ht="30" hidden="false" customHeight="true" outlineLevel="0" collapsed="false">
      <c r="B6" s="9" t="s">
        <v>114</v>
      </c>
      <c r="C6" s="9" t="s">
        <v>115</v>
      </c>
    </row>
    <row r="7" customFormat="false" ht="15" hidden="false" customHeight="true" outlineLevel="0" collapsed="false">
      <c r="B7" s="5" t="s">
        <v>128</v>
      </c>
      <c r="C7" s="29" t="n">
        <f aca="false">'T · Track'!E58</f>
        <v>1740</v>
      </c>
      <c r="D7" s="22" t="s">
        <v>129</v>
      </c>
      <c r="E7" s="22"/>
      <c r="F7" s="22"/>
      <c r="G7" s="22"/>
    </row>
    <row r="8" customFormat="false" ht="15" hidden="false" customHeight="false" outlineLevel="0" collapsed="false">
      <c r="B8" s="5" t="s">
        <v>130</v>
      </c>
      <c r="C8" s="34" t="n">
        <v>3</v>
      </c>
      <c r="D8" s="22"/>
      <c r="E8" s="22"/>
      <c r="F8" s="22"/>
      <c r="G8" s="22"/>
    </row>
    <row r="9" customFormat="false" ht="15" hidden="false" customHeight="false" outlineLevel="0" collapsed="false">
      <c r="B9" s="31" t="s">
        <v>131</v>
      </c>
      <c r="C9" s="35" t="n">
        <f aca="false">C7</f>
        <v>1740</v>
      </c>
      <c r="D9" s="22"/>
      <c r="E9" s="22"/>
      <c r="F9" s="22"/>
      <c r="G9" s="22"/>
    </row>
    <row r="10" customFormat="false" ht="15" hidden="false" customHeight="false" outlineLevel="0" collapsed="false">
      <c r="B10" s="31" t="s">
        <v>132</v>
      </c>
      <c r="C10" s="13" t="n">
        <f aca="false">C7*N(C8)</f>
        <v>5220</v>
      </c>
      <c r="D10" s="22"/>
      <c r="E10" s="22"/>
      <c r="F10" s="22"/>
      <c r="G10" s="22"/>
    </row>
    <row r="11" customFormat="false" ht="15" hidden="false" customHeight="false" outlineLevel="0" collapsed="false">
      <c r="B11" s="5" t="s">
        <v>133</v>
      </c>
      <c r="C11" s="11" t="n">
        <v>1200</v>
      </c>
    </row>
    <row r="12" customFormat="false" ht="15" hidden="false" customHeight="false" outlineLevel="0" collapsed="false">
      <c r="B12" s="18" t="s">
        <v>134</v>
      </c>
      <c r="C12" s="20" t="n">
        <f aca="false">IF(C10&gt;0,MIN(1,N(C11)/C10),0)</f>
        <v>0.229885057471264</v>
      </c>
    </row>
    <row r="13" customFormat="false" ht="15" hidden="false" customHeight="false" outlineLevel="0" collapsed="false">
      <c r="B13" s="5" t="s">
        <v>135</v>
      </c>
      <c r="C13" s="11" t="n">
        <v>250</v>
      </c>
    </row>
    <row r="14" customFormat="false" ht="15" hidden="false" customHeight="false" outlineLevel="0" collapsed="false">
      <c r="B14" s="31" t="s">
        <v>136</v>
      </c>
      <c r="C14" s="25" t="n">
        <f aca="false">IF(N(C11)&gt;=C10,"Done ✓",IF(N(C13)&gt;0,ROUNDUP((C10-N(C11))/C13,0),"Add a transfer"))</f>
        <v>17</v>
      </c>
    </row>
    <row r="17" customFormat="false" ht="15" hidden="false" customHeight="false" outlineLevel="0" collapsed="false">
      <c r="B17" s="8" t="s">
        <v>137</v>
      </c>
    </row>
    <row r="18" customFormat="false" ht="30" hidden="false" customHeight="true" outlineLevel="0" collapsed="false">
      <c r="B18" s="9" t="s">
        <v>138</v>
      </c>
      <c r="C18" s="9" t="s">
        <v>139</v>
      </c>
      <c r="D18" s="9" t="s">
        <v>140</v>
      </c>
      <c r="E18" s="9" t="s">
        <v>38</v>
      </c>
      <c r="F18" s="9" t="s">
        <v>141</v>
      </c>
      <c r="G18" s="9" t="s">
        <v>134</v>
      </c>
    </row>
    <row r="19" customFormat="false" ht="15" hidden="false" customHeight="false" outlineLevel="0" collapsed="false">
      <c r="B19" s="10" t="s">
        <v>142</v>
      </c>
      <c r="C19" s="11" t="n">
        <v>1500</v>
      </c>
      <c r="D19" s="11" t="n">
        <v>300</v>
      </c>
      <c r="E19" s="11" t="n">
        <v>75</v>
      </c>
      <c r="F19" s="25" t="n">
        <f aca="false">IF(N(C19)=0,"",IF(N(D19)&gt;=C19,"Done ✓",IF(N(E19)&gt;0,ROUNDUP((C19-N(D19))/E19,0),"–")))</f>
        <v>16</v>
      </c>
      <c r="G19" s="36" t="n">
        <f aca="false">IF(N(C19)&gt;0,MIN(1,N(D19)/C19),0)</f>
        <v>0.2</v>
      </c>
    </row>
    <row r="20" customFormat="false" ht="15" hidden="false" customHeight="false" outlineLevel="0" collapsed="false">
      <c r="B20" s="10" t="s">
        <v>143</v>
      </c>
      <c r="C20" s="11" t="n">
        <v>600</v>
      </c>
      <c r="D20" s="11" t="n">
        <v>100</v>
      </c>
      <c r="E20" s="11" t="n">
        <v>50</v>
      </c>
      <c r="F20" s="25" t="n">
        <f aca="false">IF(N(C20)=0,"",IF(N(D20)&gt;=C20,"Done ✓",IF(N(E20)&gt;0,ROUNDUP((C20-N(D20))/E20,0),"–")))</f>
        <v>10</v>
      </c>
      <c r="G20" s="36" t="n">
        <f aca="false">IF(N(C20)&gt;0,MIN(1,N(D20)/C20),0)</f>
        <v>0.166666666666667</v>
      </c>
    </row>
    <row r="21" customFormat="false" ht="15" hidden="false" customHeight="false" outlineLevel="0" collapsed="false">
      <c r="B21" s="10" t="s">
        <v>144</v>
      </c>
      <c r="C21" s="11" t="n">
        <v>1800</v>
      </c>
      <c r="D21" s="11" t="n">
        <v>250</v>
      </c>
      <c r="E21" s="11" t="n">
        <v>100</v>
      </c>
      <c r="F21" s="25" t="n">
        <f aca="false">IF(N(C21)=0,"",IF(N(D21)&gt;=C21,"Done ✓",IF(N(E21)&gt;0,ROUNDUP((C21-N(D21))/E21,0),"–")))</f>
        <v>16</v>
      </c>
      <c r="G21" s="36" t="n">
        <f aca="false">IF(N(C21)&gt;0,MIN(1,N(D21)/C21),0)</f>
        <v>0.138888888888889</v>
      </c>
    </row>
    <row r="22" customFormat="false" ht="15" hidden="false" customHeight="false" outlineLevel="0" collapsed="false">
      <c r="B22" s="10"/>
      <c r="C22" s="11"/>
      <c r="D22" s="11"/>
      <c r="E22" s="11"/>
      <c r="F22" s="25" t="str">
        <f aca="false">IF(N(C22)=0,"",IF(N(D22)&gt;=C22,"Done ✓",IF(N(E22)&gt;0,ROUNDUP((C22-N(D22))/E22,0),"–")))</f>
        <v/>
      </c>
      <c r="G22" s="36" t="n">
        <f aca="false">IF(N(C22)&gt;0,MIN(1,N(D22)/C22),0)</f>
        <v>0</v>
      </c>
    </row>
    <row r="23" customFormat="false" ht="15" hidden="false" customHeight="false" outlineLevel="0" collapsed="false">
      <c r="B23" s="10"/>
      <c r="C23" s="11"/>
      <c r="D23" s="11"/>
      <c r="E23" s="11"/>
      <c r="F23" s="25" t="str">
        <f aca="false">IF(N(C23)=0,"",IF(N(D23)&gt;=C23,"Done ✓",IF(N(E23)&gt;0,ROUNDUP((C23-N(D23))/E23,0),"–")))</f>
        <v/>
      </c>
      <c r="G23" s="36" t="n">
        <f aca="false">IF(N(C23)&gt;0,MIN(1,N(D23)/C23),0)</f>
        <v>0</v>
      </c>
    </row>
    <row r="24" customFormat="false" ht="15" hidden="false" customHeight="false" outlineLevel="0" collapsed="false">
      <c r="B24" s="10"/>
      <c r="C24" s="11"/>
      <c r="D24" s="11"/>
      <c r="E24" s="11"/>
      <c r="F24" s="25" t="str">
        <f aca="false">IF(N(C24)=0,"",IF(N(D24)&gt;=C24,"Done ✓",IF(N(E24)&gt;0,ROUNDUP((C24-N(D24))/E24,0),"–")))</f>
        <v/>
      </c>
      <c r="G24" s="36" t="n">
        <f aca="false">IF(N(C24)&gt;0,MIN(1,N(D24)/C24),0)</f>
        <v>0</v>
      </c>
    </row>
    <row r="25" customFormat="false" ht="15" hidden="false" customHeight="false" outlineLevel="0" collapsed="false">
      <c r="B25" s="10"/>
      <c r="C25" s="11"/>
      <c r="D25" s="11"/>
      <c r="E25" s="11"/>
      <c r="F25" s="25" t="str">
        <f aca="false">IF(N(C25)=0,"",IF(N(D25)&gt;=C25,"Done ✓",IF(N(E25)&gt;0,ROUNDUP((C25-N(D25))/E25,0),"–")))</f>
        <v/>
      </c>
      <c r="G25" s="36" t="n">
        <f aca="false">IF(N(C25)&gt;0,MIN(1,N(D25)/C25),0)</f>
        <v>0</v>
      </c>
    </row>
    <row r="26" customFormat="false" ht="15" hidden="false" customHeight="false" outlineLevel="0" collapsed="false">
      <c r="B26" s="10"/>
      <c r="C26" s="11"/>
      <c r="D26" s="11"/>
      <c r="E26" s="11"/>
      <c r="F26" s="25" t="str">
        <f aca="false">IF(N(C26)=0,"",IF(N(D26)&gt;=C26,"Done ✓",IF(N(E26)&gt;0,ROUNDUP((C26-N(D26))/E26,0),"–")))</f>
        <v/>
      </c>
      <c r="G26" s="36" t="n">
        <f aca="false">IF(N(C26)&gt;0,MIN(1,N(D26)/C26),0)</f>
        <v>0</v>
      </c>
    </row>
    <row r="27" customFormat="false" ht="15" hidden="false" customHeight="false" outlineLevel="0" collapsed="false">
      <c r="B27" s="10"/>
      <c r="C27" s="11"/>
      <c r="D27" s="11"/>
      <c r="E27" s="11"/>
      <c r="F27" s="25" t="str">
        <f aca="false">IF(N(C27)=0,"",IF(N(D27)&gt;=C27,"Done ✓",IF(N(E27)&gt;0,ROUNDUP((C27-N(D27))/E27,0),"–")))</f>
        <v/>
      </c>
      <c r="G27" s="36" t="n">
        <f aca="false">IF(N(C27)&gt;0,MIN(1,N(D27)/C27),0)</f>
        <v>0</v>
      </c>
    </row>
    <row r="28" customFormat="false" ht="15" hidden="false" customHeight="false" outlineLevel="0" collapsed="false">
      <c r="B28" s="10"/>
      <c r="C28" s="11"/>
      <c r="D28" s="11"/>
      <c r="E28" s="11"/>
      <c r="F28" s="25" t="str">
        <f aca="false">IF(N(C28)=0,"",IF(N(D28)&gt;=C28,"Done ✓",IF(N(E28)&gt;0,ROUNDUP((C28-N(D28))/E28,0),"–")))</f>
        <v/>
      </c>
      <c r="G28" s="36" t="n">
        <f aca="false">IF(N(C28)&gt;0,MIN(1,N(D28)/C28),0)</f>
        <v>0</v>
      </c>
    </row>
    <row r="30" customFormat="false" ht="15" hidden="false" customHeight="false" outlineLevel="0" collapsed="false">
      <c r="B30" s="31" t="s">
        <v>145</v>
      </c>
      <c r="E30" s="13" t="n">
        <f aca="false">SUM(E19:E28)</f>
        <v>225</v>
      </c>
    </row>
    <row r="31" customFormat="false" ht="15" hidden="false" customHeight="false" outlineLevel="0" collapsed="false">
      <c r="B31" s="18" t="s">
        <v>146</v>
      </c>
      <c r="E31" s="19" t="n">
        <f aca="false">N(C13)+E30</f>
        <v>475</v>
      </c>
    </row>
    <row r="32" customFormat="false" ht="15" hidden="false" customHeight="false" outlineLevel="0" collapsed="false">
      <c r="B32" s="4" t="s">
        <v>147</v>
      </c>
      <c r="E32" s="13" t="n">
        <f aca="false">'T · Track'!E62-E31</f>
        <v>80</v>
      </c>
    </row>
    <row r="33" customFormat="false" ht="15" hidden="false" customHeight="true" outlineLevel="0" collapsed="false">
      <c r="B33" s="22" t="s">
        <v>148</v>
      </c>
      <c r="C33" s="22"/>
      <c r="D33" s="22"/>
      <c r="E33" s="22"/>
      <c r="F33" s="22"/>
      <c r="G33" s="22"/>
    </row>
  </sheetData>
  <mergeCells count="4">
    <mergeCell ref="B2:G2"/>
    <mergeCell ref="B3:G3"/>
    <mergeCell ref="D7:G10"/>
    <mergeCell ref="B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9E9E"/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40"/>
  </cols>
  <sheetData>
    <row r="2" customFormat="false" ht="39.75" hidden="false" customHeight="true" outlineLevel="0" collapsed="false">
      <c r="B2" s="1" t="s">
        <v>20</v>
      </c>
      <c r="C2" s="1"/>
      <c r="D2" s="1"/>
      <c r="E2" s="1"/>
    </row>
    <row r="3" customFormat="false" ht="31.5" hidden="false" customHeight="true" outlineLevel="0" collapsed="false">
      <c r="B3" s="2" t="s">
        <v>149</v>
      </c>
      <c r="C3" s="2"/>
      <c r="D3" s="2"/>
      <c r="E3" s="2"/>
    </row>
    <row r="5" customFormat="false" ht="30" hidden="false" customHeight="true" outlineLevel="0" collapsed="false">
      <c r="B5" s="9" t="s">
        <v>150</v>
      </c>
      <c r="C5" s="9" t="s">
        <v>151</v>
      </c>
      <c r="D5" s="9" t="s">
        <v>152</v>
      </c>
      <c r="E5" s="9" t="s">
        <v>153</v>
      </c>
    </row>
    <row r="6" customFormat="false" ht="15" hidden="false" customHeight="false" outlineLevel="0" collapsed="false">
      <c r="B6" s="10" t="s">
        <v>154</v>
      </c>
      <c r="C6" s="30" t="n">
        <v>49</v>
      </c>
      <c r="D6" s="30" t="n">
        <v>52</v>
      </c>
      <c r="E6" s="10" t="s">
        <v>155</v>
      </c>
    </row>
    <row r="7" customFormat="false" ht="15" hidden="false" customHeight="false" outlineLevel="0" collapsed="false">
      <c r="B7" s="10" t="s">
        <v>156</v>
      </c>
      <c r="C7" s="30" t="n">
        <v>43</v>
      </c>
      <c r="D7" s="30" t="n">
        <v>40</v>
      </c>
      <c r="E7" s="10" t="s">
        <v>157</v>
      </c>
    </row>
    <row r="8" customFormat="false" ht="15" hidden="false" customHeight="false" outlineLevel="0" collapsed="false">
      <c r="B8" s="10" t="s">
        <v>158</v>
      </c>
      <c r="C8" s="30" t="n">
        <v>5</v>
      </c>
      <c r="D8" s="30" t="n">
        <v>5</v>
      </c>
      <c r="E8" s="10"/>
    </row>
    <row r="9" customFormat="false" ht="15" hidden="false" customHeight="false" outlineLevel="0" collapsed="false">
      <c r="B9" s="10" t="s">
        <v>61</v>
      </c>
      <c r="C9" s="30" t="n">
        <v>10</v>
      </c>
      <c r="D9" s="30" t="n">
        <v>10</v>
      </c>
      <c r="E9" s="10" t="s">
        <v>159</v>
      </c>
    </row>
    <row r="10" customFormat="false" ht="15" hidden="false" customHeight="false" outlineLevel="0" collapsed="false">
      <c r="B10" s="10" t="s">
        <v>160</v>
      </c>
      <c r="C10" s="30" t="n">
        <v>10</v>
      </c>
      <c r="D10" s="30" t="n">
        <v>8</v>
      </c>
      <c r="E10" s="10" t="s">
        <v>161</v>
      </c>
    </row>
    <row r="11" customFormat="false" ht="15" hidden="false" customHeight="false" outlineLevel="0" collapsed="false">
      <c r="B11" s="10" t="s">
        <v>162</v>
      </c>
      <c r="C11" s="30" t="n">
        <v>12</v>
      </c>
      <c r="D11" s="30" t="n">
        <v>16</v>
      </c>
      <c r="E11" s="10" t="s">
        <v>163</v>
      </c>
    </row>
    <row r="12" customFormat="false" ht="15" hidden="false" customHeight="false" outlineLevel="0" collapsed="false">
      <c r="B12" s="10" t="s">
        <v>164</v>
      </c>
      <c r="C12" s="30" t="n">
        <v>3</v>
      </c>
      <c r="D12" s="30" t="n">
        <v>4</v>
      </c>
      <c r="E12" s="10" t="s">
        <v>165</v>
      </c>
    </row>
    <row r="13" customFormat="false" ht="15" hidden="false" customHeight="false" outlineLevel="0" collapsed="false">
      <c r="B13" s="10" t="s">
        <v>166</v>
      </c>
      <c r="C13" s="30" t="n">
        <v>3</v>
      </c>
      <c r="D13" s="30" t="n">
        <v>4</v>
      </c>
      <c r="E13" s="10" t="s">
        <v>167</v>
      </c>
    </row>
    <row r="14" customFormat="false" ht="15" hidden="false" customHeight="false" outlineLevel="0" collapsed="false">
      <c r="B14" s="10" t="s">
        <v>168</v>
      </c>
      <c r="C14" s="30" t="n">
        <v>10</v>
      </c>
      <c r="D14" s="30" t="n">
        <v>10</v>
      </c>
      <c r="E14" s="10"/>
    </row>
    <row r="15" customFormat="false" ht="15" hidden="false" customHeight="false" outlineLevel="0" collapsed="false">
      <c r="B15" s="10"/>
      <c r="C15" s="30"/>
      <c r="D15" s="30"/>
      <c r="E15" s="10"/>
    </row>
    <row r="16" customFormat="false" ht="15" hidden="false" customHeight="false" outlineLevel="0" collapsed="false">
      <c r="B16" s="10"/>
      <c r="C16" s="30"/>
      <c r="D16" s="30"/>
      <c r="E16" s="10"/>
    </row>
    <row r="17" customFormat="false" ht="15" hidden="false" customHeight="false" outlineLevel="0" collapsed="false">
      <c r="B17" s="10"/>
      <c r="C17" s="30"/>
      <c r="D17" s="30"/>
      <c r="E17" s="10"/>
    </row>
    <row r="19" customFormat="false" ht="15" hidden="false" customHeight="false" outlineLevel="0" collapsed="false">
      <c r="B19" s="31" t="s">
        <v>169</v>
      </c>
      <c r="C19" s="37" t="n">
        <f aca="false">SUM(C6:C17)</f>
        <v>145</v>
      </c>
      <c r="D19" s="37" t="n">
        <f aca="false">SUM(D6:D17)</f>
        <v>149</v>
      </c>
    </row>
    <row r="20" customFormat="false" ht="15" hidden="false" customHeight="false" outlineLevel="0" collapsed="false">
      <c r="B20" s="18" t="s">
        <v>170</v>
      </c>
      <c r="C20" s="38" t="n">
        <f aca="false">168-C19</f>
        <v>23</v>
      </c>
      <c r="D20" s="38" t="n">
        <f aca="false">168-D19</f>
        <v>19</v>
      </c>
    </row>
    <row r="22" customFormat="false" ht="15" hidden="false" customHeight="false" outlineLevel="0" collapsed="false">
      <c r="B22" s="7" t="s">
        <v>171</v>
      </c>
      <c r="C22" s="39" t="n">
        <f aca="false">SUMIF(B6:B17,"Family*",D6:D17)-SUMIF(B6:B17,"Family*",C6:C17)</f>
        <v>4</v>
      </c>
    </row>
    <row r="23" customFormat="false" ht="15" hidden="false" customHeight="false" outlineLevel="0" collapsed="false">
      <c r="B23" s="7" t="s">
        <v>172</v>
      </c>
      <c r="C23" s="40" t="n">
        <f aca="false">C22*52</f>
        <v>208</v>
      </c>
    </row>
    <row r="25" customFormat="false" ht="24" hidden="false" customHeight="true" outlineLevel="0" collapsed="false">
      <c r="B25" s="22" t="s">
        <v>173</v>
      </c>
      <c r="C25" s="22"/>
      <c r="D25" s="22"/>
      <c r="E25" s="22"/>
    </row>
    <row r="26" customFormat="false" ht="15" hidden="false" customHeight="false" outlineLevel="0" collapsed="false">
      <c r="B26" s="22"/>
      <c r="C26" s="22"/>
      <c r="D26" s="22"/>
      <c r="E26" s="22"/>
    </row>
    <row r="28" customFormat="false" ht="15" hidden="false" customHeight="true" outlineLevel="0" collapsed="false">
      <c r="B28" s="31" t="s">
        <v>174</v>
      </c>
      <c r="C28" s="41" t="n">
        <f aca="false">'U · Understand'!C29</f>
        <v>12.0192307692308</v>
      </c>
      <c r="D28" s="22" t="s">
        <v>175</v>
      </c>
      <c r="E28" s="22"/>
    </row>
    <row r="29" customFormat="false" ht="23.85" hidden="false" customHeight="false" outlineLevel="0" collapsed="false">
      <c r="B29" s="31" t="s">
        <v>176</v>
      </c>
      <c r="C29" s="13" t="n">
        <f aca="false">MAX(0,SUMIF(B6:B17,"Paid work*",C6:C17)-SUMIF(B6:B17,"Paid work*",D6:D17))*52*C28</f>
        <v>1875</v>
      </c>
      <c r="D29" s="22"/>
      <c r="E29" s="22"/>
    </row>
    <row r="30" customFormat="false" ht="15" hidden="false" customHeight="false" outlineLevel="0" collapsed="false">
      <c r="D30" s="22"/>
      <c r="E30" s="22"/>
    </row>
  </sheetData>
  <mergeCells count="4">
    <mergeCell ref="B2:E2"/>
    <mergeCell ref="B3:E3"/>
    <mergeCell ref="B25:E26"/>
    <mergeCell ref="D28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6E"/>
    <pageSetUpPr fitToPage="false"/>
  </sheetPr>
  <dimension ref="B2:I28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3"/>
    <col collapsed="false" customWidth="true" hidden="false" outlineLevel="0" max="9" min="9" style="0" width="30"/>
  </cols>
  <sheetData>
    <row r="2" customFormat="false" ht="39.75" hidden="false" customHeight="true" outlineLevel="0" collapsed="false">
      <c r="B2" s="1" t="s">
        <v>177</v>
      </c>
      <c r="C2" s="1"/>
      <c r="D2" s="1"/>
      <c r="E2" s="1"/>
      <c r="F2" s="1"/>
      <c r="G2" s="1"/>
      <c r="H2" s="1"/>
      <c r="I2" s="1"/>
    </row>
    <row r="3" customFormat="false" ht="31.5" hidden="false" customHeight="true" outlineLevel="0" collapsed="false">
      <c r="B3" s="2" t="s">
        <v>178</v>
      </c>
      <c r="C3" s="2"/>
      <c r="D3" s="2"/>
      <c r="E3" s="2"/>
      <c r="F3" s="2"/>
      <c r="G3" s="2"/>
      <c r="H3" s="2"/>
      <c r="I3" s="2"/>
    </row>
    <row r="5" customFormat="false" ht="30" hidden="false" customHeight="true" outlineLevel="0" collapsed="false">
      <c r="B5" s="9" t="s">
        <v>179</v>
      </c>
      <c r="C5" s="9" t="s">
        <v>180</v>
      </c>
      <c r="D5" s="9" t="s">
        <v>181</v>
      </c>
      <c r="E5" s="9" t="s">
        <v>182</v>
      </c>
      <c r="F5" s="9" t="s">
        <v>183</v>
      </c>
      <c r="G5" s="9" t="s">
        <v>184</v>
      </c>
      <c r="H5" s="9" t="s">
        <v>185</v>
      </c>
      <c r="I5" s="9" t="s">
        <v>186</v>
      </c>
    </row>
    <row r="6" customFormat="false" ht="15" hidden="false" customHeight="false" outlineLevel="0" collapsed="false">
      <c r="B6" s="10" t="s">
        <v>187</v>
      </c>
      <c r="C6" s="10" t="s">
        <v>188</v>
      </c>
      <c r="D6" s="10" t="s">
        <v>189</v>
      </c>
      <c r="E6" s="30" t="n">
        <v>0</v>
      </c>
      <c r="F6" s="10" t="s">
        <v>190</v>
      </c>
      <c r="G6" s="11" t="n">
        <v>150</v>
      </c>
      <c r="H6" s="42" t="str">
        <f aca="false">IF(N(E6)&gt;0,N(G6)/(E6*52/12),IF(N(G6)&gt;0,"no time logged",""))</f>
        <v>no time logged</v>
      </c>
      <c r="I6" s="10" t="s">
        <v>191</v>
      </c>
    </row>
    <row r="7" customFormat="false" ht="15" hidden="false" customHeight="false" outlineLevel="0" collapsed="false">
      <c r="B7" s="10" t="s">
        <v>192</v>
      </c>
      <c r="C7" s="10" t="s">
        <v>193</v>
      </c>
      <c r="D7" s="10" t="s">
        <v>194</v>
      </c>
      <c r="E7" s="30" t="n">
        <v>3</v>
      </c>
      <c r="F7" s="10" t="s">
        <v>195</v>
      </c>
      <c r="G7" s="11" t="n">
        <v>60</v>
      </c>
      <c r="H7" s="42" t="n">
        <f aca="false">IF(N(E7)&gt;0,N(G7)/(E7*52/12),IF(N(G7)&gt;0,"no time logged",""))</f>
        <v>4.61538461538462</v>
      </c>
      <c r="I7" s="10" t="s">
        <v>196</v>
      </c>
    </row>
    <row r="8" customFormat="false" ht="15" hidden="false" customHeight="false" outlineLevel="0" collapsed="false">
      <c r="B8" s="10" t="s">
        <v>197</v>
      </c>
      <c r="C8" s="10" t="s">
        <v>198</v>
      </c>
      <c r="D8" s="10" t="s">
        <v>199</v>
      </c>
      <c r="E8" s="30" t="n">
        <v>0</v>
      </c>
      <c r="F8" s="10"/>
      <c r="G8" s="11" t="n">
        <v>0</v>
      </c>
      <c r="H8" s="42" t="str">
        <f aca="false">IF(N(E8)&gt;0,N(G8)/(E8*52/12),IF(N(G8)&gt;0,"no time logged",""))</f>
        <v/>
      </c>
      <c r="I8" s="10" t="s">
        <v>200</v>
      </c>
    </row>
    <row r="9" customFormat="false" ht="15" hidden="false" customHeight="false" outlineLevel="0" collapsed="false">
      <c r="B9" s="10"/>
      <c r="C9" s="10"/>
      <c r="D9" s="10"/>
      <c r="E9" s="30"/>
      <c r="F9" s="10"/>
      <c r="G9" s="11"/>
      <c r="H9" s="42" t="str">
        <f aca="false">IF(N(E9)&gt;0,N(G9)/(E9*52/12),IF(N(G9)&gt;0,"no time logged",""))</f>
        <v/>
      </c>
      <c r="I9" s="10"/>
    </row>
    <row r="10" customFormat="false" ht="15" hidden="false" customHeight="false" outlineLevel="0" collapsed="false">
      <c r="B10" s="10"/>
      <c r="C10" s="10"/>
      <c r="D10" s="10"/>
      <c r="E10" s="30"/>
      <c r="F10" s="10"/>
      <c r="G10" s="11"/>
      <c r="H10" s="42" t="str">
        <f aca="false">IF(N(E10)&gt;0,N(G10)/(E10*52/12),IF(N(G10)&gt;0,"no time logged",""))</f>
        <v/>
      </c>
      <c r="I10" s="10"/>
    </row>
    <row r="11" customFormat="false" ht="15" hidden="false" customHeight="false" outlineLevel="0" collapsed="false">
      <c r="B11" s="10"/>
      <c r="C11" s="10"/>
      <c r="D11" s="10"/>
      <c r="E11" s="30"/>
      <c r="F11" s="10"/>
      <c r="G11" s="11"/>
      <c r="H11" s="42" t="str">
        <f aca="false">IF(N(E11)&gt;0,N(G11)/(E11*52/12),IF(N(G11)&gt;0,"no time logged",""))</f>
        <v/>
      </c>
      <c r="I11" s="10"/>
    </row>
    <row r="12" customFormat="false" ht="15" hidden="false" customHeight="false" outlineLevel="0" collapsed="false">
      <c r="B12" s="10"/>
      <c r="C12" s="10"/>
      <c r="D12" s="10"/>
      <c r="E12" s="30"/>
      <c r="F12" s="10"/>
      <c r="G12" s="11"/>
      <c r="H12" s="42" t="str">
        <f aca="false">IF(N(E12)&gt;0,N(G12)/(E12*52/12),IF(N(G12)&gt;0,"no time logged",""))</f>
        <v/>
      </c>
      <c r="I12" s="10"/>
    </row>
    <row r="13" customFormat="false" ht="15" hidden="false" customHeight="false" outlineLevel="0" collapsed="false">
      <c r="B13" s="10"/>
      <c r="C13" s="10"/>
      <c r="D13" s="10"/>
      <c r="E13" s="30"/>
      <c r="F13" s="10"/>
      <c r="G13" s="11"/>
      <c r="H13" s="42" t="str">
        <f aca="false">IF(N(E13)&gt;0,N(G13)/(E13*52/12),IF(N(G13)&gt;0,"no time logged",""))</f>
        <v/>
      </c>
      <c r="I13" s="10"/>
    </row>
    <row r="14" customFormat="false" ht="15" hidden="false" customHeight="false" outlineLevel="0" collapsed="false">
      <c r="B14" s="10"/>
      <c r="C14" s="10"/>
      <c r="D14" s="10"/>
      <c r="E14" s="30"/>
      <c r="F14" s="10"/>
      <c r="G14" s="11"/>
      <c r="H14" s="42" t="str">
        <f aca="false">IF(N(E14)&gt;0,N(G14)/(E14*52/12),IF(N(G14)&gt;0,"no time logged",""))</f>
        <v/>
      </c>
      <c r="I14" s="10"/>
    </row>
    <row r="15" customFormat="false" ht="15" hidden="false" customHeight="false" outlineLevel="0" collapsed="false">
      <c r="B15" s="10"/>
      <c r="C15" s="10"/>
      <c r="D15" s="10"/>
      <c r="E15" s="30"/>
      <c r="F15" s="10"/>
      <c r="G15" s="11"/>
      <c r="H15" s="42" t="str">
        <f aca="false">IF(N(E15)&gt;0,N(G15)/(E15*52/12),IF(N(G15)&gt;0,"no time logged",""))</f>
        <v/>
      </c>
      <c r="I15" s="10"/>
    </row>
    <row r="16" customFormat="false" ht="15" hidden="false" customHeight="false" outlineLevel="0" collapsed="false">
      <c r="B16" s="10"/>
      <c r="C16" s="10"/>
      <c r="D16" s="10"/>
      <c r="E16" s="30"/>
      <c r="F16" s="10"/>
      <c r="G16" s="11"/>
      <c r="H16" s="42" t="str">
        <f aca="false">IF(N(E16)&gt;0,N(G16)/(E16*52/12),IF(N(G16)&gt;0,"no time logged",""))</f>
        <v/>
      </c>
      <c r="I16" s="10"/>
    </row>
    <row r="17" customFormat="false" ht="15" hidden="false" customHeight="false" outlineLevel="0" collapsed="false">
      <c r="B17" s="10"/>
      <c r="C17" s="10"/>
      <c r="D17" s="10"/>
      <c r="E17" s="30"/>
      <c r="F17" s="10"/>
      <c r="G17" s="11"/>
      <c r="H17" s="42" t="str">
        <f aca="false">IF(N(E17)&gt;0,N(G17)/(E17*52/12),IF(N(G17)&gt;0,"no time logged",""))</f>
        <v/>
      </c>
      <c r="I17" s="10"/>
    </row>
    <row r="18" customFormat="false" ht="15" hidden="false" customHeight="false" outlineLevel="0" collapsed="false">
      <c r="B18" s="10"/>
      <c r="C18" s="10"/>
      <c r="D18" s="10"/>
      <c r="E18" s="30"/>
      <c r="F18" s="10"/>
      <c r="G18" s="11"/>
      <c r="H18" s="42" t="str">
        <f aca="false">IF(N(E18)&gt;0,N(G18)/(E18*52/12),IF(N(G18)&gt;0,"no time logged",""))</f>
        <v/>
      </c>
      <c r="I18" s="10"/>
    </row>
    <row r="19" customFormat="false" ht="15" hidden="false" customHeight="false" outlineLevel="0" collapsed="false">
      <c r="B19" s="10"/>
      <c r="C19" s="10"/>
      <c r="D19" s="10"/>
      <c r="E19" s="30"/>
      <c r="F19" s="10"/>
      <c r="G19" s="11"/>
      <c r="H19" s="42" t="str">
        <f aca="false">IF(N(E19)&gt;0,N(G19)/(E19*52/12),IF(N(G19)&gt;0,"no time logged",""))</f>
        <v/>
      </c>
      <c r="I19" s="10"/>
    </row>
    <row r="20" customFormat="false" ht="15" hidden="false" customHeight="false" outlineLevel="0" collapsed="false">
      <c r="B20" s="10"/>
      <c r="C20" s="10"/>
      <c r="D20" s="10"/>
      <c r="E20" s="30"/>
      <c r="F20" s="10"/>
      <c r="G20" s="11"/>
      <c r="H20" s="42" t="str">
        <f aca="false">IF(N(E20)&gt;0,N(G20)/(E20*52/12),IF(N(G20)&gt;0,"no time logged",""))</f>
        <v/>
      </c>
      <c r="I20" s="10"/>
    </row>
    <row r="21" customFormat="false" ht="15" hidden="false" customHeight="false" outlineLevel="0" collapsed="false">
      <c r="B21" s="10"/>
      <c r="C21" s="10"/>
      <c r="D21" s="10"/>
      <c r="E21" s="30"/>
      <c r="F21" s="10"/>
      <c r="G21" s="11"/>
      <c r="H21" s="42" t="str">
        <f aca="false">IF(N(E21)&gt;0,N(G21)/(E21*52/12),IF(N(G21)&gt;0,"no time logged",""))</f>
        <v/>
      </c>
      <c r="I21" s="10"/>
    </row>
    <row r="23" customFormat="false" ht="15" hidden="false" customHeight="false" outlineLevel="0" collapsed="false">
      <c r="B23" s="18" t="s">
        <v>201</v>
      </c>
      <c r="G23" s="19" t="n">
        <f aca="false">SUMIF(C6:C21,"&lt;&gt;Career (raise/promotion)",G6:G21)</f>
        <v>60</v>
      </c>
    </row>
    <row r="24" customFormat="false" ht="15" hidden="false" customHeight="false" outlineLevel="0" collapsed="false">
      <c r="B24" s="31" t="s">
        <v>202</v>
      </c>
      <c r="G24" s="13" t="n">
        <f aca="false">SUMIF(C6:C21,"Career (raise/promotion)",G6:G21)</f>
        <v>150</v>
      </c>
    </row>
    <row r="25" customFormat="false" ht="15" hidden="false" customHeight="false" outlineLevel="0" collapsed="false">
      <c r="B25" s="31" t="s">
        <v>203</v>
      </c>
      <c r="E25" s="43" t="n">
        <f aca="false">SUM(E6:E21)</f>
        <v>3</v>
      </c>
    </row>
    <row r="26" customFormat="false" ht="23.85" hidden="false" customHeight="false" outlineLevel="0" collapsed="false">
      <c r="B26" s="7" t="s">
        <v>204</v>
      </c>
      <c r="G26" s="44" t="n">
        <f aca="false">IF('T · Track'!E58&gt;0,G23/'T · Track'!E58,0)</f>
        <v>0.0344827586206897</v>
      </c>
    </row>
    <row r="28" customFormat="false" ht="15" hidden="false" customHeight="true" outlineLevel="0" collapsed="false">
      <c r="B28" s="22" t="s">
        <v>205</v>
      </c>
      <c r="C28" s="22"/>
      <c r="D28" s="22"/>
      <c r="E28" s="22"/>
      <c r="F28" s="22"/>
      <c r="G28" s="22"/>
      <c r="H28" s="22"/>
      <c r="I28" s="22"/>
    </row>
  </sheetData>
  <mergeCells count="3">
    <mergeCell ref="B2:I2"/>
    <mergeCell ref="B3:I3"/>
    <mergeCell ref="B28:I28"/>
  </mergeCells>
  <dataValidations count="2">
    <dataValidation allowBlank="true" errorStyle="stop" operator="between" showDropDown="false" showErrorMessage="false" showInputMessage="false" sqref="C6:C21" type="list">
      <formula1>Lists!$D$1:$D$9</formula1>
      <formula2>0</formula2>
    </dataValidation>
    <dataValidation allowBlank="true" errorStyle="stop" operator="between" showDropDown="false" showErrorMessage="false" showInputMessage="false" sqref="D6:D21" type="list">
      <formula1>Lists!$E$1:$E$4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1B5E"/>
    <pageSetUpPr fitToPage="false"/>
  </sheetPr>
  <dimension ref="B2:F29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4"/>
    <col collapsed="false" customWidth="true" hidden="false" outlineLevel="0" max="5" min="5" style="0" width="30"/>
    <col collapsed="false" customWidth="true" hidden="false" outlineLevel="0" max="6" min="6" style="0" width="18"/>
  </cols>
  <sheetData>
    <row r="2" customFormat="false" ht="39.75" hidden="false" customHeight="true" outlineLevel="0" collapsed="false">
      <c r="B2" s="1" t="s">
        <v>206</v>
      </c>
      <c r="C2" s="1"/>
      <c r="D2" s="1"/>
      <c r="E2" s="1"/>
      <c r="F2" s="1"/>
    </row>
    <row r="3" customFormat="false" ht="31.5" hidden="false" customHeight="true" outlineLevel="0" collapsed="false">
      <c r="B3" s="2" t="s">
        <v>207</v>
      </c>
      <c r="C3" s="2"/>
      <c r="D3" s="2"/>
      <c r="E3" s="2"/>
      <c r="F3" s="2"/>
    </row>
    <row r="5" customFormat="false" ht="15" hidden="false" customHeight="false" outlineLevel="0" collapsed="false">
      <c r="B5" s="3" t="s">
        <v>208</v>
      </c>
    </row>
    <row r="6" customFormat="false" ht="27.75" hidden="false" customHeight="true" outlineLevel="0" collapsed="false">
      <c r="B6" s="45" t="str">
        <f aca="false">INDEX(Lists!$F$1:$F$7,C9+1)</f>
        <v>Level 1 · Stable</v>
      </c>
      <c r="C6" s="45"/>
      <c r="E6" s="46" t="str">
        <f aca="false">CHOOSE(C9+1,"Next step: more goes out than comes in. Use R · Reclaim and cut wants until KEEP is at least €0.","Next step: build a starter buffer of one month of needs before anything else.","Next step: clear consumer debt, highest interest first (Priority 1 on U · Understand).","Next step: grow the buffer into your full emergency fund on S · Save.","Next step: you are secure. Learn long-term investing basics and start ONE income stream.","Next step: extra income covers 25%+ of needs. Keep investing; decide what time you want back.","You have choices. Extra income covers your baseline. Decide on your terms how much you want to work.")</f>
        <v>Next step: build a starter buffer of one month of needs before anything else.</v>
      </c>
      <c r="F6" s="46"/>
    </row>
    <row r="7" customFormat="false" ht="27.75" hidden="false" customHeight="true" outlineLevel="0" collapsed="false">
      <c r="B7" s="45"/>
      <c r="C7" s="45"/>
      <c r="E7" s="46"/>
      <c r="F7" s="46"/>
    </row>
    <row r="9" customFormat="false" ht="15" hidden="false" customHeight="false" outlineLevel="0" collapsed="false">
      <c r="B9" s="5" t="s">
        <v>209</v>
      </c>
      <c r="C9" s="47" t="n">
        <f aca="false">IF(C14&lt;0,0,IF(C22&lt;C13,1,IF(C20&gt;0,2,IF(C22&lt;C23,3,IF(C25&lt;0.25*C13,4,IF(C25&lt;C13,5,6))))))</f>
        <v>1</v>
      </c>
    </row>
    <row r="11" customFormat="false" ht="15" hidden="false" customHeight="false" outlineLevel="0" collapsed="false">
      <c r="B11" s="8" t="s">
        <v>210</v>
      </c>
      <c r="E11" s="8" t="s">
        <v>211</v>
      </c>
    </row>
    <row r="12" customFormat="false" ht="15" hidden="false" customHeight="false" outlineLevel="0" collapsed="false">
      <c r="B12" s="5" t="s">
        <v>212</v>
      </c>
      <c r="C12" s="48" t="n">
        <f aca="false">'T · Track'!E13</f>
        <v>2560</v>
      </c>
      <c r="E12" s="5" t="s">
        <v>213</v>
      </c>
      <c r="F12" s="49" t="n">
        <f aca="false">'U · Understand'!C29</f>
        <v>12.0192307692308</v>
      </c>
    </row>
    <row r="13" customFormat="false" ht="15" hidden="false" customHeight="false" outlineLevel="0" collapsed="false">
      <c r="B13" s="5" t="s">
        <v>214</v>
      </c>
      <c r="C13" s="50" t="n">
        <f aca="false">'T · Track'!E58</f>
        <v>1740</v>
      </c>
      <c r="E13" s="5" t="s">
        <v>125</v>
      </c>
      <c r="F13" s="51" t="n">
        <f aca="false">'U · Understand'!C31</f>
        <v>252.403846153846</v>
      </c>
    </row>
    <row r="14" customFormat="false" ht="15" hidden="false" customHeight="false" outlineLevel="0" collapsed="false">
      <c r="B14" s="5" t="s">
        <v>215</v>
      </c>
      <c r="C14" s="51" t="n">
        <f aca="false">'T · Track'!E62</f>
        <v>555</v>
      </c>
      <c r="E14" s="5" t="s">
        <v>216</v>
      </c>
      <c r="F14" s="52" t="n">
        <f aca="false">'Income Streams'!E25</f>
        <v>3</v>
      </c>
    </row>
    <row r="15" customFormat="false" ht="15" hidden="false" customHeight="false" outlineLevel="0" collapsed="false">
      <c r="B15" s="5" t="s">
        <v>76</v>
      </c>
      <c r="C15" s="53" t="n">
        <f aca="false">'T · Track'!E63</f>
        <v>0.216796875</v>
      </c>
      <c r="E15" s="5" t="s">
        <v>217</v>
      </c>
      <c r="F15" s="54" t="n">
        <f aca="false">'Income Streams'!G26</f>
        <v>0.0344827586206897</v>
      </c>
    </row>
    <row r="16" customFormat="false" ht="15" hidden="false" customHeight="false" outlineLevel="0" collapsed="false">
      <c r="B16" s="5" t="s">
        <v>72</v>
      </c>
      <c r="C16" s="55" t="n">
        <f aca="false">'T · Track'!E59</f>
        <v>265</v>
      </c>
      <c r="E16" s="5" t="s">
        <v>218</v>
      </c>
      <c r="F16" s="56" t="n">
        <f aca="false">'T · Time'!C22</f>
        <v>4</v>
      </c>
    </row>
    <row r="17" customFormat="false" ht="23.85" hidden="false" customHeight="false" outlineLevel="0" collapsed="false">
      <c r="B17" s="5" t="s">
        <v>219</v>
      </c>
      <c r="C17" s="51" t="n">
        <f aca="false">'R · Reclaim'!F32</f>
        <v>48</v>
      </c>
      <c r="E17" s="5" t="s">
        <v>220</v>
      </c>
      <c r="F17" s="48" t="n">
        <f aca="false">'S · Save'!E32</f>
        <v>80</v>
      </c>
    </row>
    <row r="18" customFormat="false" ht="15" hidden="false" customHeight="false" outlineLevel="0" collapsed="false">
      <c r="B18" s="5" t="s">
        <v>221</v>
      </c>
      <c r="C18" s="51" t="n">
        <f aca="false">'R · Reclaim'!F33</f>
        <v>576</v>
      </c>
      <c r="E18" s="5" t="s">
        <v>222</v>
      </c>
      <c r="F18" s="51" t="n">
        <f aca="false">'Income Streams'!G24</f>
        <v>150</v>
      </c>
    </row>
    <row r="19" customFormat="false" ht="15" hidden="false" customHeight="false" outlineLevel="0" collapsed="false">
      <c r="B19" s="8" t="s">
        <v>223</v>
      </c>
    </row>
    <row r="20" customFormat="false" ht="15" hidden="false" customHeight="false" outlineLevel="0" collapsed="false">
      <c r="B20" s="5" t="s">
        <v>224</v>
      </c>
      <c r="C20" s="55" t="n">
        <f aca="false">'U · Understand'!C17</f>
        <v>1500</v>
      </c>
      <c r="E20" s="57" t="s">
        <v>225</v>
      </c>
    </row>
    <row r="21" customFormat="false" ht="15" hidden="false" customHeight="false" outlineLevel="0" collapsed="false">
      <c r="B21" s="5" t="s">
        <v>112</v>
      </c>
      <c r="C21" s="55" t="n">
        <f aca="false">'U · Understand'!C19</f>
        <v>298.5</v>
      </c>
      <c r="E21" s="58" t="s">
        <v>226</v>
      </c>
      <c r="F21" s="58"/>
    </row>
    <row r="22" customFormat="false" ht="15" hidden="false" customHeight="false" outlineLevel="0" collapsed="false">
      <c r="B22" s="5" t="s">
        <v>227</v>
      </c>
      <c r="C22" s="51" t="n">
        <f aca="false">'S · Save'!C11</f>
        <v>1200</v>
      </c>
      <c r="E22" s="58" t="s">
        <v>228</v>
      </c>
      <c r="F22" s="58"/>
    </row>
    <row r="23" customFormat="false" ht="15" hidden="false" customHeight="false" outlineLevel="0" collapsed="false">
      <c r="B23" s="5" t="s">
        <v>229</v>
      </c>
      <c r="C23" s="50" t="n">
        <f aca="false">'S · Save'!C10</f>
        <v>5220</v>
      </c>
      <c r="E23" s="58" t="s">
        <v>230</v>
      </c>
      <c r="F23" s="58"/>
    </row>
    <row r="24" customFormat="false" ht="15" hidden="false" customHeight="false" outlineLevel="0" collapsed="false">
      <c r="B24" s="5" t="s">
        <v>231</v>
      </c>
      <c r="C24" s="53" t="n">
        <f aca="false">'S · Save'!C12</f>
        <v>0.229885057471264</v>
      </c>
      <c r="E24" s="58" t="s">
        <v>232</v>
      </c>
      <c r="F24" s="58"/>
    </row>
    <row r="25" customFormat="false" ht="15" hidden="false" customHeight="false" outlineLevel="0" collapsed="false">
      <c r="B25" s="5" t="s">
        <v>233</v>
      </c>
      <c r="C25" s="51" t="n">
        <f aca="false">'Income Streams'!G23</f>
        <v>60</v>
      </c>
      <c r="E25" s="58" t="s">
        <v>234</v>
      </c>
      <c r="F25" s="58"/>
    </row>
    <row r="26" customFormat="false" ht="15" hidden="false" customHeight="false" outlineLevel="0" collapsed="false">
      <c r="E26" s="58" t="s">
        <v>235</v>
      </c>
      <c r="F26" s="58"/>
    </row>
    <row r="27" customFormat="false" ht="15" hidden="false" customHeight="false" outlineLevel="0" collapsed="false">
      <c r="E27" s="58" t="s">
        <v>236</v>
      </c>
      <c r="F27" s="58"/>
    </row>
    <row r="28" customFormat="false" ht="15" hidden="false" customHeight="false" outlineLevel="0" collapsed="false">
      <c r="B28" s="59" t="s">
        <v>237</v>
      </c>
    </row>
    <row r="29" customFormat="false" ht="15" hidden="false" customHeight="false" outlineLevel="0" collapsed="false">
      <c r="B29" s="60" t="s">
        <v>238</v>
      </c>
    </row>
  </sheetData>
  <mergeCells count="11">
    <mergeCell ref="B2:F2"/>
    <mergeCell ref="B3:F3"/>
    <mergeCell ref="B6:C7"/>
    <mergeCell ref="E6:F7"/>
    <mergeCell ref="E21:F21"/>
    <mergeCell ref="E22:F22"/>
    <mergeCell ref="E23:F23"/>
    <mergeCell ref="E24:F24"/>
    <mergeCell ref="E25:F25"/>
    <mergeCell ref="E26:F26"/>
    <mergeCell ref="E27:F27"/>
  </mergeCells>
  <conditionalFormatting sqref="E21:F27">
    <cfRule type="expression" priority="2" aboveAverage="0" equalAverage="0" bottom="0" percent="0" rank="0" text="" dxfId="0">
      <formula>ROW(E21)-21=$C$9</formula>
    </cfRule>
  </conditionalFormatting>
  <conditionalFormatting sqref="C14"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6E"/>
    <pageSetUpPr fitToPage="false"/>
  </sheetPr>
  <dimension ref="B2:L1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10" min="9" style="0" width="13"/>
    <col collapsed="false" customWidth="true" hidden="false" outlineLevel="0" max="11" min="11" style="0" width="22"/>
    <col collapsed="false" customWidth="true" hidden="false" outlineLevel="0" max="12" min="12" style="0" width="34"/>
  </cols>
  <sheetData>
    <row r="2" customFormat="false" ht="39.75" hidden="false" customHeight="true" outlineLevel="0" collapsed="false">
      <c r="B2" s="1" t="s">
        <v>239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31.5" hidden="false" customHeight="true" outlineLevel="0" collapsed="false">
      <c r="B3" s="2" t="s">
        <v>240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30" hidden="false" customHeight="true" outlineLevel="0" collapsed="false">
      <c r="B5" s="9" t="s">
        <v>241</v>
      </c>
      <c r="C5" s="9" t="s">
        <v>242</v>
      </c>
      <c r="D5" s="9" t="s">
        <v>243</v>
      </c>
      <c r="E5" s="9" t="s">
        <v>72</v>
      </c>
      <c r="F5" s="9" t="s">
        <v>244</v>
      </c>
      <c r="G5" s="9" t="s">
        <v>76</v>
      </c>
      <c r="H5" s="9" t="s">
        <v>245</v>
      </c>
      <c r="I5" s="9" t="s">
        <v>99</v>
      </c>
      <c r="J5" s="9" t="s">
        <v>246</v>
      </c>
      <c r="K5" s="9" t="s">
        <v>247</v>
      </c>
      <c r="L5" s="9" t="s">
        <v>248</v>
      </c>
    </row>
    <row r="6" customFormat="false" ht="15" hidden="false" customHeight="false" outlineLevel="0" collapsed="false">
      <c r="B6" s="10" t="s">
        <v>249</v>
      </c>
      <c r="C6" s="11" t="n">
        <v>2500</v>
      </c>
      <c r="D6" s="11" t="n">
        <v>1650</v>
      </c>
      <c r="E6" s="11" t="n">
        <v>330</v>
      </c>
      <c r="F6" s="21" t="n">
        <f aca="false">IF(C6="","",C6-N(D6)-N(E6))</f>
        <v>520</v>
      </c>
      <c r="G6" s="36" t="n">
        <f aca="false">IF(N(C6)&gt;0,F6/C6,"")</f>
        <v>0.208</v>
      </c>
      <c r="H6" s="11" t="n">
        <v>1000</v>
      </c>
      <c r="I6" s="11" t="n">
        <v>1500</v>
      </c>
      <c r="J6" s="11" t="n">
        <v>0</v>
      </c>
      <c r="K6" s="61" t="str">
        <f aca="false">IF(C6="","",INDEX(Lists!$F$1:$F$7,1+IF(F6&lt;0,0,IF(N(H6)&lt;N(D6),1,IF(N(I6)&gt;0,2,IF(N(H6)&lt;N(D6)*'S · Save'!$C$8,3,IF(N(J6)&lt;0.25*N(D6),4,IF(N(J6)&lt;N(D6),5,6))))))))</f>
        <v>Level 1 · Stable</v>
      </c>
      <c r="L6" s="10" t="s">
        <v>250</v>
      </c>
    </row>
    <row r="7" customFormat="false" ht="15" hidden="false" customHeight="false" outlineLevel="0" collapsed="false">
      <c r="B7" s="10" t="s">
        <v>251</v>
      </c>
      <c r="C7" s="11" t="n">
        <v>2560</v>
      </c>
      <c r="D7" s="11" t="n">
        <v>1640</v>
      </c>
      <c r="E7" s="11" t="n">
        <v>265</v>
      </c>
      <c r="F7" s="21" t="n">
        <f aca="false">IF(C7="","",C7-N(D7)-N(E7))</f>
        <v>655</v>
      </c>
      <c r="G7" s="36" t="n">
        <f aca="false">IF(N(C7)&gt;0,F7/C7,"")</f>
        <v>0.255859375</v>
      </c>
      <c r="H7" s="11" t="n">
        <v>1200</v>
      </c>
      <c r="I7" s="11" t="n">
        <v>1400</v>
      </c>
      <c r="J7" s="11" t="n">
        <v>60</v>
      </c>
      <c r="K7" s="61" t="str">
        <f aca="false">IF(C7="","",INDEX(Lists!$F$1:$F$7,1+IF(F7&lt;0,0,IF(N(H7)&lt;N(D7),1,IF(N(I7)&gt;0,2,IF(N(H7)&lt;N(D7)*'S · Save'!$C$8,3,IF(N(J7)&lt;0.25*N(D7),4,IF(N(J7)&lt;N(D7),5,6))))))))</f>
        <v>Level 1 · Stable</v>
      </c>
      <c r="L7" s="10" t="s">
        <v>252</v>
      </c>
    </row>
    <row r="8" customFormat="false" ht="15" hidden="false" customHeight="false" outlineLevel="0" collapsed="false">
      <c r="B8" s="10"/>
      <c r="C8" s="11"/>
      <c r="D8" s="11"/>
      <c r="E8" s="11"/>
      <c r="F8" s="21" t="str">
        <f aca="false">IF(C8="","",C8-N(D8)-N(E8))</f>
        <v/>
      </c>
      <c r="G8" s="36" t="str">
        <f aca="false">IF(N(C8)&gt;0,F8/C8,"")</f>
        <v/>
      </c>
      <c r="H8" s="11"/>
      <c r="I8" s="11"/>
      <c r="J8" s="11"/>
      <c r="K8" s="61" t="str">
        <f aca="false">IF(C8="","",INDEX(Lists!$F$1:$F$7,1+IF(F8&lt;0,0,IF(N(H8)&lt;N(D8),1,IF(N(I8)&gt;0,2,IF(N(H8)&lt;N(D8)*'S · Save'!$C$8,3,IF(N(J8)&lt;0.25*N(D8),4,IF(N(J8)&lt;N(D8),5,6))))))))</f>
        <v/>
      </c>
      <c r="L8" s="10"/>
    </row>
    <row r="9" customFormat="false" ht="15" hidden="false" customHeight="false" outlineLevel="0" collapsed="false">
      <c r="B9" s="10"/>
      <c r="C9" s="11"/>
      <c r="D9" s="11"/>
      <c r="E9" s="11"/>
      <c r="F9" s="21" t="str">
        <f aca="false">IF(C9="","",C9-N(D9)-N(E9))</f>
        <v/>
      </c>
      <c r="G9" s="36" t="str">
        <f aca="false">IF(N(C9)&gt;0,F9/C9,"")</f>
        <v/>
      </c>
      <c r="H9" s="11"/>
      <c r="I9" s="11"/>
      <c r="J9" s="11"/>
      <c r="K9" s="61" t="str">
        <f aca="false">IF(C9="","",INDEX(Lists!$F$1:$F$7,1+IF(F9&lt;0,0,IF(N(H9)&lt;N(D9),1,IF(N(I9)&gt;0,2,IF(N(H9)&lt;N(D9)*'S · Save'!$C$8,3,IF(N(J9)&lt;0.25*N(D9),4,IF(N(J9)&lt;N(D9),5,6))))))))</f>
        <v/>
      </c>
      <c r="L9" s="10"/>
    </row>
    <row r="10" customFormat="false" ht="15" hidden="false" customHeight="false" outlineLevel="0" collapsed="false">
      <c r="B10" s="10"/>
      <c r="C10" s="11"/>
      <c r="D10" s="11"/>
      <c r="E10" s="11"/>
      <c r="F10" s="21" t="str">
        <f aca="false">IF(C10="","",C10-N(D10)-N(E10))</f>
        <v/>
      </c>
      <c r="G10" s="36" t="str">
        <f aca="false">IF(N(C10)&gt;0,F10/C10,"")</f>
        <v/>
      </c>
      <c r="H10" s="11"/>
      <c r="I10" s="11"/>
      <c r="J10" s="11"/>
      <c r="K10" s="61" t="str">
        <f aca="false">IF(C10="","",INDEX(Lists!$F$1:$F$7,1+IF(F10&lt;0,0,IF(N(H10)&lt;N(D10),1,IF(N(I10)&gt;0,2,IF(N(H10)&lt;N(D10)*'S · Save'!$C$8,3,IF(N(J10)&lt;0.25*N(D10),4,IF(N(J10)&lt;N(D10),5,6))))))))</f>
        <v/>
      </c>
      <c r="L10" s="10"/>
    </row>
    <row r="11" customFormat="false" ht="15" hidden="false" customHeight="false" outlineLevel="0" collapsed="false">
      <c r="B11" s="10"/>
      <c r="C11" s="11"/>
      <c r="D11" s="11"/>
      <c r="E11" s="11"/>
      <c r="F11" s="21" t="str">
        <f aca="false">IF(C11="","",C11-N(D11)-N(E11))</f>
        <v/>
      </c>
      <c r="G11" s="36" t="str">
        <f aca="false">IF(N(C11)&gt;0,F11/C11,"")</f>
        <v/>
      </c>
      <c r="H11" s="11"/>
      <c r="I11" s="11"/>
      <c r="J11" s="11"/>
      <c r="K11" s="61" t="str">
        <f aca="false">IF(C11="","",INDEX(Lists!$F$1:$F$7,1+IF(F11&lt;0,0,IF(N(H11)&lt;N(D11),1,IF(N(I11)&gt;0,2,IF(N(H11)&lt;N(D11)*'S · Save'!$C$8,3,IF(N(J11)&lt;0.25*N(D11),4,IF(N(J11)&lt;N(D11),5,6))))))))</f>
        <v/>
      </c>
      <c r="L11" s="10"/>
    </row>
    <row r="12" customFormat="false" ht="15" hidden="false" customHeight="false" outlineLevel="0" collapsed="false">
      <c r="B12" s="10"/>
      <c r="C12" s="11"/>
      <c r="D12" s="11"/>
      <c r="E12" s="11"/>
      <c r="F12" s="21" t="str">
        <f aca="false">IF(C12="","",C12-N(D12)-N(E12))</f>
        <v/>
      </c>
      <c r="G12" s="36" t="str">
        <f aca="false">IF(N(C12)&gt;0,F12/C12,"")</f>
        <v/>
      </c>
      <c r="H12" s="11"/>
      <c r="I12" s="11"/>
      <c r="J12" s="11"/>
      <c r="K12" s="61" t="str">
        <f aca="false">IF(C12="","",INDEX(Lists!$F$1:$F$7,1+IF(F12&lt;0,0,IF(N(H12)&lt;N(D12),1,IF(N(I12)&gt;0,2,IF(N(H12)&lt;N(D12)*'S · Save'!$C$8,3,IF(N(J12)&lt;0.25*N(D12),4,IF(N(J12)&lt;N(D12),5,6))))))))</f>
        <v/>
      </c>
      <c r="L12" s="10"/>
    </row>
    <row r="13" customFormat="false" ht="15" hidden="false" customHeight="false" outlineLevel="0" collapsed="false">
      <c r="B13" s="10"/>
      <c r="C13" s="11"/>
      <c r="D13" s="11"/>
      <c r="E13" s="11"/>
      <c r="F13" s="21" t="str">
        <f aca="false">IF(C13="","",C13-N(D13)-N(E13))</f>
        <v/>
      </c>
      <c r="G13" s="36" t="str">
        <f aca="false">IF(N(C13)&gt;0,F13/C13,"")</f>
        <v/>
      </c>
      <c r="H13" s="11"/>
      <c r="I13" s="11"/>
      <c r="J13" s="11"/>
      <c r="K13" s="61" t="str">
        <f aca="false">IF(C13="","",INDEX(Lists!$F$1:$F$7,1+IF(F13&lt;0,0,IF(N(H13)&lt;N(D13),1,IF(N(I13)&gt;0,2,IF(N(H13)&lt;N(D13)*'S · Save'!$C$8,3,IF(N(J13)&lt;0.25*N(D13),4,IF(N(J13)&lt;N(D13),5,6))))))))</f>
        <v/>
      </c>
      <c r="L13" s="10"/>
    </row>
    <row r="14" customFormat="false" ht="15" hidden="false" customHeight="false" outlineLevel="0" collapsed="false">
      <c r="B14" s="10"/>
      <c r="C14" s="11"/>
      <c r="D14" s="11"/>
      <c r="E14" s="11"/>
      <c r="F14" s="21" t="str">
        <f aca="false">IF(C14="","",C14-N(D14)-N(E14))</f>
        <v/>
      </c>
      <c r="G14" s="36" t="str">
        <f aca="false">IF(N(C14)&gt;0,F14/C14,"")</f>
        <v/>
      </c>
      <c r="H14" s="11"/>
      <c r="I14" s="11"/>
      <c r="J14" s="11"/>
      <c r="K14" s="61" t="str">
        <f aca="false">IF(C14="","",INDEX(Lists!$F$1:$F$7,1+IF(F14&lt;0,0,IF(N(H14)&lt;N(D14),1,IF(N(I14)&gt;0,2,IF(N(H14)&lt;N(D14)*'S · Save'!$C$8,3,IF(N(J14)&lt;0.25*N(D14),4,IF(N(J14)&lt;N(D14),5,6))))))))</f>
        <v/>
      </c>
      <c r="L14" s="10"/>
    </row>
    <row r="15" customFormat="false" ht="15" hidden="false" customHeight="false" outlineLevel="0" collapsed="false">
      <c r="B15" s="10"/>
      <c r="C15" s="11"/>
      <c r="D15" s="11"/>
      <c r="E15" s="11"/>
      <c r="F15" s="21" t="str">
        <f aca="false">IF(C15="","",C15-N(D15)-N(E15))</f>
        <v/>
      </c>
      <c r="G15" s="36" t="str">
        <f aca="false">IF(N(C15)&gt;0,F15/C15,"")</f>
        <v/>
      </c>
      <c r="H15" s="11"/>
      <c r="I15" s="11"/>
      <c r="J15" s="11"/>
      <c r="K15" s="61" t="str">
        <f aca="false">IF(C15="","",INDEX(Lists!$F$1:$F$7,1+IF(F15&lt;0,0,IF(N(H15)&lt;N(D15),1,IF(N(I15)&gt;0,2,IF(N(H15)&lt;N(D15)*'S · Save'!$C$8,3,IF(N(J15)&lt;0.25*N(D15),4,IF(N(J15)&lt;N(D15),5,6))))))))</f>
        <v/>
      </c>
      <c r="L15" s="10"/>
    </row>
    <row r="16" customFormat="false" ht="15" hidden="false" customHeight="false" outlineLevel="0" collapsed="false">
      <c r="B16" s="10"/>
      <c r="C16" s="11"/>
      <c r="D16" s="11"/>
      <c r="E16" s="11"/>
      <c r="F16" s="21" t="str">
        <f aca="false">IF(C16="","",C16-N(D16)-N(E16))</f>
        <v/>
      </c>
      <c r="G16" s="36" t="str">
        <f aca="false">IF(N(C16)&gt;0,F16/C16,"")</f>
        <v/>
      </c>
      <c r="H16" s="11"/>
      <c r="I16" s="11"/>
      <c r="J16" s="11"/>
      <c r="K16" s="61" t="str">
        <f aca="false">IF(C16="","",INDEX(Lists!$F$1:$F$7,1+IF(F16&lt;0,0,IF(N(H16)&lt;N(D16),1,IF(N(I16)&gt;0,2,IF(N(H16)&lt;N(D16)*'S · Save'!$C$8,3,IF(N(J16)&lt;0.25*N(D16),4,IF(N(J16)&lt;N(D16),5,6))))))))</f>
        <v/>
      </c>
      <c r="L16" s="10"/>
    </row>
    <row r="17" customFormat="false" ht="15" hidden="false" customHeight="false" outlineLevel="0" collapsed="false">
      <c r="B17" s="10"/>
      <c r="C17" s="11"/>
      <c r="D17" s="11"/>
      <c r="E17" s="11"/>
      <c r="F17" s="21" t="str">
        <f aca="false">IF(C17="","",C17-N(D17)-N(E17))</f>
        <v/>
      </c>
      <c r="G17" s="36" t="str">
        <f aca="false">IF(N(C17)&gt;0,F17/C17,"")</f>
        <v/>
      </c>
      <c r="H17" s="11"/>
      <c r="I17" s="11"/>
      <c r="J17" s="11"/>
      <c r="K17" s="61" t="str">
        <f aca="false">IF(C17="","",INDEX(Lists!$F$1:$F$7,1+IF(F17&lt;0,0,IF(N(H17)&lt;N(D17),1,IF(N(I17)&gt;0,2,IF(N(H17)&lt;N(D17)*'S · Save'!$C$8,3,IF(N(J17)&lt;0.25*N(D17),4,IF(N(J17)&lt;N(D17),5,6))))))))</f>
        <v/>
      </c>
      <c r="L17" s="10"/>
    </row>
  </sheetData>
  <mergeCells count="2">
    <mergeCell ref="B2:L2"/>
    <mergeCell ref="B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51</v>
      </c>
      <c r="B1" s="0" t="s">
        <v>52</v>
      </c>
      <c r="C1" s="0" t="s">
        <v>94</v>
      </c>
      <c r="D1" s="0" t="s">
        <v>188</v>
      </c>
      <c r="E1" s="0" t="s">
        <v>199</v>
      </c>
      <c r="F1" s="0" t="s">
        <v>253</v>
      </c>
    </row>
    <row r="2" customFormat="false" ht="15" hidden="false" customHeight="false" outlineLevel="0" collapsed="false">
      <c r="A2" s="0" t="s">
        <v>55</v>
      </c>
      <c r="B2" s="0" t="s">
        <v>66</v>
      </c>
      <c r="C2" s="0" t="s">
        <v>85</v>
      </c>
      <c r="D2" s="0" t="s">
        <v>254</v>
      </c>
      <c r="E2" s="0" t="s">
        <v>194</v>
      </c>
      <c r="F2" s="0" t="s">
        <v>255</v>
      </c>
    </row>
    <row r="3" customFormat="false" ht="15" hidden="false" customHeight="false" outlineLevel="0" collapsed="false">
      <c r="A3" s="0" t="s">
        <v>56</v>
      </c>
      <c r="C3" s="0" t="s">
        <v>88</v>
      </c>
      <c r="D3" s="0" t="s">
        <v>193</v>
      </c>
      <c r="E3" s="0" t="s">
        <v>189</v>
      </c>
      <c r="F3" s="0" t="s">
        <v>256</v>
      </c>
    </row>
    <row r="4" customFormat="false" ht="15" hidden="false" customHeight="false" outlineLevel="0" collapsed="false">
      <c r="A4" s="0" t="s">
        <v>58</v>
      </c>
      <c r="C4" s="0" t="s">
        <v>91</v>
      </c>
      <c r="D4" s="0" t="s">
        <v>198</v>
      </c>
      <c r="E4" s="0" t="s">
        <v>257</v>
      </c>
      <c r="F4" s="0" t="s">
        <v>258</v>
      </c>
    </row>
    <row r="5" customFormat="false" ht="15" hidden="false" customHeight="false" outlineLevel="0" collapsed="false">
      <c r="A5" s="0" t="s">
        <v>59</v>
      </c>
      <c r="D5" s="0" t="s">
        <v>259</v>
      </c>
      <c r="F5" s="0" t="s">
        <v>260</v>
      </c>
    </row>
    <row r="6" customFormat="false" ht="15" hidden="false" customHeight="false" outlineLevel="0" collapsed="false">
      <c r="A6" s="0" t="s">
        <v>261</v>
      </c>
      <c r="D6" s="0" t="s">
        <v>262</v>
      </c>
      <c r="F6" s="0" t="s">
        <v>263</v>
      </c>
    </row>
    <row r="7" customFormat="false" ht="15" hidden="false" customHeight="false" outlineLevel="0" collapsed="false">
      <c r="A7" s="0" t="s">
        <v>61</v>
      </c>
      <c r="D7" s="0" t="s">
        <v>264</v>
      </c>
      <c r="F7" s="0" t="s">
        <v>265</v>
      </c>
    </row>
    <row r="8" customFormat="false" ht="15" hidden="false" customHeight="false" outlineLevel="0" collapsed="false">
      <c r="A8" s="0" t="s">
        <v>266</v>
      </c>
      <c r="D8" s="0" t="s">
        <v>267</v>
      </c>
    </row>
    <row r="9" customFormat="false" ht="15" hidden="false" customHeight="false" outlineLevel="0" collapsed="false">
      <c r="A9" s="0" t="s">
        <v>63</v>
      </c>
      <c r="D9" s="0" t="s">
        <v>268</v>
      </c>
    </row>
    <row r="10" customFormat="false" ht="15" hidden="false" customHeight="false" outlineLevel="0" collapsed="false">
      <c r="A10" s="0" t="s">
        <v>65</v>
      </c>
    </row>
    <row r="11" customFormat="false" ht="15" hidden="false" customHeight="false" outlineLevel="0" collapsed="false">
      <c r="A11" s="0" t="s">
        <v>68</v>
      </c>
    </row>
    <row r="12" customFormat="false" ht="15" hidden="false" customHeight="false" outlineLevel="0" collapsed="false">
      <c r="A12" s="0" t="s">
        <v>70</v>
      </c>
    </row>
    <row r="13" customFormat="false" ht="15" hidden="false" customHeight="false" outlineLevel="0" collapsed="false">
      <c r="A13" s="0" t="s">
        <v>269</v>
      </c>
    </row>
    <row r="14" customFormat="false" ht="15" hidden="false" customHeight="false" outlineLevel="0" collapsed="false">
      <c r="A14" s="0" t="s">
        <v>270</v>
      </c>
    </row>
    <row r="15" customFormat="false" ht="15" hidden="false" customHeight="false" outlineLevel="0" collapsed="false">
      <c r="A15" s="0" t="s">
        <v>271</v>
      </c>
    </row>
    <row r="16" customFormat="false" ht="15" hidden="false" customHeight="false" outlineLevel="0" collapsed="false">
      <c r="A16" s="0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2026-10-16T11:35:38Z</dcterms:created>
  <dc:creator>openpyxl</dc:creator>
  <dc:description/>
  <dc:language>en-US</dc:language>
  <cp:lastModifiedBy/>
  <dcterms:modified xsi:type="dcterms:W3CDTF">2026-10-16T11:35:38Z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