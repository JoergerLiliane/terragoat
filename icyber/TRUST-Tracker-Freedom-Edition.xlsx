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Me" sheetId="1" state="visible" r:id="rId3"/>
    <sheet name="How to Use" sheetId="2" state="visible" r:id="rId4"/>
    <sheet name="T · Track" sheetId="3" state="visible" r:id="rId5"/>
    <sheet name="R · Reclaim" sheetId="4" state="visible" r:id="rId6"/>
    <sheet name="U · Understand" sheetId="5" state="visible" r:id="rId7"/>
    <sheet name="S · Save" sheetId="6" state="visible" r:id="rId8"/>
    <sheet name="T · Time" sheetId="7" state="visible" r:id="rId9"/>
    <sheet name="Income Streams" sheetId="8" state="visible" r:id="rId10"/>
    <sheet name="KEEP Dashboard" sheetId="9" state="visible" r:id="rId11"/>
    <sheet name="Monthly Review" sheetId="10" state="visible" r:id="rId12"/>
    <sheet name="Lists" sheetId="11" state="hidden" r:id="rId13"/>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8" authorId="0">
      <text>
        <r>
          <rPr>
            <sz val="10"/>
            <rFont val="Arial"/>
            <family val="2"/>
          </rPr>
          <t xml:space="preserve">Pulled automatically from the Income Streams tab. Overwrite only if you prefer to enter it here.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24" authorId="0">
      <text>
        <r>
          <rPr>
            <sz val="10"/>
            <rFont val="Arial"/>
            <family val="2"/>
          </rPr>
          <t xml:space="preserve">Your net salary from T · Track (row 7).</t>
        </r>
      </text>
    </comment>
  </commentList>
</comments>
</file>

<file path=xl/sharedStrings.xml><?xml version="1.0" encoding="utf-8"?>
<sst xmlns="http://schemas.openxmlformats.org/spreadsheetml/2006/main" count="351" uniqueCount="304">
  <si>
    <t xml:space="preserve">Hey, I'm Liliane.</t>
  </si>
  <si>
    <t xml:space="preserve">You work hard for your money. But is it creating the life you're working so hard for?</t>
  </si>
  <si>
    <t xml:space="preserve">I'm a full-time cybersecurity consultant at a Big Four firm. I work a demanding job, and alongside my 9–5 I support my mum, who receives care at home after her cerebral haemorrhage. Balancing both is demanding, so I know how little time is left at the end of the day. Everything here comes from my own experience: I paid off €30,000 of debt and I'm building wealth beside my career with the same system I share here. I don't teach this from the outside. I've experienced it myself.</t>
  </si>
  <si>
    <t xml:space="preserve">You have a demanding career, bills to pay and people who depend on you. You earn a respectable income. Yet despite everything you do, you don't always feel as financially secure or independent as you thought you would.</t>
  </si>
  <si>
    <t xml:space="preserve">How do I build a financially secure future without missing out on the people and moments that matter most today?</t>
  </si>
  <si>
    <t xml:space="preserve">I know that feeling. I started as a flight attendant working toward becoming a pilot, until COVID changed those plans. I rebuilt my path in cybersecurity consulting. My income grew, but financial security didn't automatically follow. In my 20s I took on loans for my study fees, made wrong financial decisions and even fell for an online scam: I was heavily into trading without knowing much about it. My rule since then: only invest in what you understand. I paid off €30,000 of debt not by first earning more, but by understanding my finances and making deliberate changes. Now in my 30s, this is what I wish someone had told me in my 20s.</t>
  </si>
  <si>
    <t xml:space="preserve">WHY I REALLY BUILT THIS</t>
  </si>
  <si>
    <t xml:space="preserve">My mum is 83. When she had her cerebral haemorrhage, I realised how valuable time really is, and how little of it I had left. For years I worked long hours and stayed late almost every single day, because I believed climbing the corporate ladder was what success meant. But true success is realising what truly matters in life, and then taking the steps, one by one, that lead you there. We only get this one life. I want to spend as much time with her as I possibly can. Not someday, but now.</t>
  </si>
  <si>
    <t xml:space="preserve">Most of the financial advice out there told me to quit my job, hustle harder or get rich fast. That's unrealistic unless you're willing to risk your financial security, and when people depend on you, that's not a risk worth taking. None were made for someone with a demanding career and a mum who needs them. I wished I'd had a clear, honest plan for the few hours I actually had. So I built it for myself. You shouldn't need a wake-up call to start.</t>
  </si>
  <si>
    <t xml:space="preserve">That's why I created the TRUST Sheet. No judgment. No unrealistic promises. No complicated jargon. Just a practical starting point for making your money work toward the life you actually want.</t>
  </si>
  <si>
    <t xml:space="preserve">WHO THIS IS FOR</t>
  </si>
  <si>
    <t xml:space="preserve">✓  Your financial progress doesn't reflect the effort you put into your career.</t>
  </si>
  <si>
    <t xml:space="preserve">✓  You balance work, family or caregiving, and need a system that fits your limited time.</t>
  </si>
  <si>
    <t xml:space="preserve">✓  You earn a decent income and want clarity on what you keep, spend, save and owe.</t>
  </si>
  <si>
    <t xml:space="preserve">✓  You want a strong foundation before building wealth or extra income streams.</t>
  </si>
  <si>
    <t xml:space="preserve">✓  You want financial independence for a reason: more choices and more time with the people you love.</t>
  </si>
  <si>
    <t xml:space="preserve">Not for anyone looking for overnight wealth or guaranteed returns.</t>
  </si>
  <si>
    <t xml:space="preserve">THE METHOD · KEEP + TRUST</t>
  </si>
  <si>
    <t xml:space="preserve">KEEP = Know your Earnings to Escape your Paycheck. Your salary can be the foundation of your financial future. It doesn't have to define your limits.</t>
  </si>
  <si>
    <t xml:space="preserve">T · Track: know your numbers. What comes in, what goes out, what you actually keep.</t>
  </si>
  <si>
    <t xml:space="preserve">R · Reclaim: find where money slips away and redirect it toward what matters to you.</t>
  </si>
  <si>
    <t xml:space="preserve">U · Understand: see your position clearly, including debt and the real value of your hour.</t>
  </si>
  <si>
    <t xml:space="preserve">S · Save: build resilience, set priorities and prepare for your future.</t>
  </si>
  <si>
    <t xml:space="preserve">T · Time: see how money and time connect, and why independence is really about choices.</t>
  </si>
  <si>
    <t xml:space="preserve">Knowing your numbers is the beginning, not the goal. TRUST is the foundation for debt freedom, wealth building and additional income.</t>
  </si>
  <si>
    <t xml:space="preserve">WEALTH STARTS WITH YOUR MINDSET</t>
  </si>
  <si>
    <t xml:space="preserve">Becoming wealthy starts with how you think about money and with understanding the laws of money. Money management is a skill you learn, not a talent you're born with.</t>
  </si>
  <si>
    <t xml:space="preserve">1 · Spend less than you earn. The gap is where all wealth begins.</t>
  </si>
  <si>
    <t xml:space="preserve">2 · Pay yourself first. Your future gets paid on payday, before bills and wants.</t>
  </si>
  <si>
    <t xml:space="preserve">3 · Protect what you have. A safety net and no expensive debt.</t>
  </si>
  <si>
    <t xml:space="preserve">4 · Make your money work for you. Only invest in what you understand.</t>
  </si>
  <si>
    <t xml:space="preserve">5 · Give it time. Compound growth rewards patience more than luck.</t>
  </si>
  <si>
    <t xml:space="preserve">YOUR NEXT STEP</t>
  </si>
  <si>
    <t xml:space="preserve">Head to the How to Use tab. In about 20 minutes you'll have your first financial snapshot. You don't need everything figured out today. You just need somewhere meaningful to start.</t>
  </si>
  <si>
    <t xml:space="preserve">Financial freedom isn't about quitting your 9–5. It's about using your career as the engine to fuel your financial independence, build multiple income streams, and create the freedom to spend more time with the people you love.</t>
  </si>
  <si>
    <t xml:space="preserve">Build your options without quitting your 9–5.  Know your money. Build your wealth. Reclaim your time.
— Liliane · iCyber · @cyber_cnslt · cybercnslt.com</t>
  </si>
  <si>
    <t xml:space="preserve">Educational information only, not individualised financial or investment advice. The TRUST Sheet helps you organise and understand your finances; it doesn't guarantee financial outcomes. Your financial information stays in your own copy of the workbook unless you choose to share it.</t>
  </si>
  <si>
    <t xml:space="preserve">How to Use</t>
  </si>
  <si>
    <t xml:space="preserve">About 20 minutes to set up, 15 minutes a week to run. Built for busy weeks.</t>
  </si>
  <si>
    <t xml:space="preserve">FIRST SNAPSHOT · ABOUT 20 MINUTES</t>
  </si>
  <si>
    <t xml:space="preserve">1 · Fill the yellow cells</t>
  </si>
  <si>
    <t xml:space="preserve">Every cell with a pale yellow background and blue text is yours to edit. Everything else calculates itself. The rows already filled in are EXAMPLES: overwrite or delete them.</t>
  </si>
  <si>
    <t xml:space="preserve">2 · Go tab by tab, in order</t>
  </si>
  <si>
    <t xml:space="preserve">T Track → R Reclaim → U Understand → S Save → T Time. Then add any side income on Income Streams.</t>
  </si>
  <si>
    <t xml:space="preserve">3 · Read your KEEP dashboard</t>
  </si>
  <si>
    <t xml:space="preserve">It shows what you keep, your Freedom Level (0–6) and the one next step that matters now.</t>
  </si>
  <si>
    <t xml:space="preserve">4 · Review once a month</t>
  </si>
  <si>
    <t xml:space="preserve">Copy this month's dashboard numbers into Monthly Review. 12 rows, one per month. Watch your level climb.</t>
  </si>
  <si>
    <t xml:space="preserve">EVERY WEEK · 15 MINUTES</t>
  </si>
  <si>
    <t xml:space="preserve">Weekly money check</t>
  </si>
  <si>
    <t xml:space="preserve">Open KEEP and look at what you keep. Add new costs or income. Move this week's saving or debt payment.</t>
  </si>
  <si>
    <t xml:space="preserve">Heavy week?</t>
  </si>
  <si>
    <t xml:space="preserve">Caring for someone, deadlines, illness: open the KEEP dashboard, look at one number, close it. That counts. The system is built to pause without breaking.</t>
  </si>
  <si>
    <t xml:space="preserve">COLOUR KEY</t>
  </si>
  <si>
    <t xml:space="preserve">Yellow cell, blue text</t>
  </si>
  <si>
    <t xml:space="preserve">Your input</t>
  </si>
  <si>
    <t xml:space="preserve">Black text</t>
  </si>
  <si>
    <t xml:space="preserve">Calculated: please don't overwrite</t>
  </si>
  <si>
    <t xml:space="preserve">Bordeaux text</t>
  </si>
  <si>
    <t xml:space="preserve">Money going out or still owed (debt)</t>
  </si>
  <si>
    <t xml:space="preserve">© cybercnslt.com · Liliane · @cyber_cnslt · For personal use by the purchaser only, please don't resell or share.</t>
  </si>
  <si>
    <t xml:space="preserve">T · Track</t>
  </si>
  <si>
    <t xml:space="preserve">List what comes in and what goes out in a normal month. Yearly costs? Divide by 12. Debt minimum payments are a Need. Don't list savings transfers here: what's left over is what you KEEP.</t>
  </si>
  <si>
    <t xml:space="preserve">MONEY IN (net, per month)</t>
  </si>
  <si>
    <t xml:space="preserve">Source</t>
  </si>
  <si>
    <t xml:space="preserve">Note</t>
  </si>
  <si>
    <t xml:space="preserve">€ / month</t>
  </si>
  <si>
    <t xml:space="preserve">Salary (net)</t>
  </si>
  <si>
    <t xml:space="preserve">Main job</t>
  </si>
  <si>
    <t xml:space="preserve">Side income</t>
  </si>
  <si>
    <t xml:space="preserve">Total from Income Streams tab</t>
  </si>
  <si>
    <t xml:space="preserve">Benefits / allowances</t>
  </si>
  <si>
    <t xml:space="preserve">e.g. child benefit, care allowance</t>
  </si>
  <si>
    <t xml:space="preserve">Total money in</t>
  </si>
  <si>
    <t xml:space="preserve">MONEY OUT (per month)</t>
  </si>
  <si>
    <t xml:space="preserve">Expense</t>
  </si>
  <si>
    <t xml:space="preserve">Category</t>
  </si>
  <si>
    <t xml:space="preserve">Need / Want</t>
  </si>
  <si>
    <t xml:space="preserve">Rent / mortgage</t>
  </si>
  <si>
    <t xml:space="preserve">Housing</t>
  </si>
  <si>
    <t xml:space="preserve">Need</t>
  </si>
  <si>
    <t xml:space="preserve">Example rows: overwrite with yours</t>
  </si>
  <si>
    <t xml:space="preserve">Electricity, internet, phone</t>
  </si>
  <si>
    <t xml:space="preserve">Utilities &amp; phone</t>
  </si>
  <si>
    <t xml:space="preserve">Groceries</t>
  </si>
  <si>
    <t xml:space="preserve">Public transport / fuel</t>
  </si>
  <si>
    <t xml:space="preserve">Transport</t>
  </si>
  <si>
    <t xml:space="preserve">Insurance</t>
  </si>
  <si>
    <t xml:space="preserve">Care support for mum</t>
  </si>
  <si>
    <t xml:space="preserve">Caregiving</t>
  </si>
  <si>
    <t xml:space="preserve">Credit card minimum</t>
  </si>
  <si>
    <t xml:space="preserve">Debt payments</t>
  </si>
  <si>
    <t xml:space="preserve">Streaming &amp; apps</t>
  </si>
  <si>
    <t xml:space="preserve">Subscriptions</t>
  </si>
  <si>
    <t xml:space="preserve">Want</t>
  </si>
  <si>
    <t xml:space="preserve">Eating out &amp; takeaway</t>
  </si>
  <si>
    <t xml:space="preserve">Eating out</t>
  </si>
  <si>
    <t xml:space="preserve">Clothes &amp; shopping</t>
  </si>
  <si>
    <t xml:space="preserve">Shopping</t>
  </si>
  <si>
    <t xml:space="preserve">Needs (your baseline)</t>
  </si>
  <si>
    <t xml:space="preserve">Wants</t>
  </si>
  <si>
    <t xml:space="preserve">of which caregiving</t>
  </si>
  <si>
    <t xml:space="preserve">Unsorted (pick Need or Want)</t>
  </si>
  <si>
    <t xml:space="preserve">KEEP (in − needs − wants)</t>
  </si>
  <si>
    <t xml:space="preserve">Keep rate</t>
  </si>
  <si>
    <t xml:space="preserve">R · Reclaim</t>
  </si>
  <si>
    <t xml:space="preserve">Go through bank statements for 10 minutes. Every subscription, fee and contract goes here. Decide: Keep, Cut, Reduce or Renegotiate. One call to a provider can be worth hundreds a year.</t>
  </si>
  <si>
    <t xml:space="preserve">Subscription / cost</t>
  </si>
  <si>
    <t xml:space="preserve">Now € / month</t>
  </si>
  <si>
    <t xml:space="preserve">Decision</t>
  </si>
  <si>
    <t xml:space="preserve">New € / month</t>
  </si>
  <si>
    <t xml:space="preserve">Reclaimed € / month</t>
  </si>
  <si>
    <t xml:space="preserve">Next action</t>
  </si>
  <si>
    <t xml:space="preserve">Second streaming service</t>
  </si>
  <si>
    <t xml:space="preserve">Cut</t>
  </si>
  <si>
    <t xml:space="preserve">Cancel before renewal on the 15th</t>
  </si>
  <si>
    <t xml:space="preserve">Gym (not used since spring)</t>
  </si>
  <si>
    <t xml:space="preserve">Reduce</t>
  </si>
  <si>
    <t xml:space="preserve">Switch to off-peak plan</t>
  </si>
  <si>
    <t xml:space="preserve">Mobile contract</t>
  </si>
  <si>
    <t xml:space="preserve">Renegotiate</t>
  </si>
  <si>
    <t xml:space="preserve">Call and ask for current tariff</t>
  </si>
  <si>
    <t xml:space="preserve">Cloud storage</t>
  </si>
  <si>
    <t xml:space="preserve">Keep</t>
  </si>
  <si>
    <t xml:space="preserve">Reclaimable per month</t>
  </si>
  <si>
    <t xml:space="preserve">Reclaimable per year</t>
  </si>
  <si>
    <t xml:space="preserve">Rule: reclaimed money gets a job the same day. Move it to your buffer or debt before it disappears into everyday spending.</t>
  </si>
  <si>
    <t xml:space="preserve">U · Understand</t>
  </si>
  <si>
    <t xml:space="preserve">Debt first: what you owe, what it costs you each month, and which one to attack first (highest interest = highest priority). Then: what is one hour of your working life really worth?</t>
  </si>
  <si>
    <t xml:space="preserve">Debt</t>
  </si>
  <si>
    <t xml:space="preserve">Balance €</t>
  </si>
  <si>
    <t xml:space="preserve">Interest % / year</t>
  </si>
  <si>
    <t xml:space="preserve">Minimum € / month</t>
  </si>
  <si>
    <t xml:space="preserve">Extra € / month</t>
  </si>
  <si>
    <t xml:space="preserve">Interest cost € / month</t>
  </si>
  <si>
    <t xml:space="preserve">Months to clear</t>
  </si>
  <si>
    <t xml:space="preserve">Priority</t>
  </si>
  <si>
    <t xml:space="preserve">Credit card</t>
  </si>
  <si>
    <t xml:space="preserve">Overdraft</t>
  </si>
  <si>
    <t xml:space="preserve">Total debt</t>
  </si>
  <si>
    <t xml:space="preserve">Priority 1 = highest interest rate. Send every extra euro there, pay minimums on the rest. Months to clear is an estimate with fixed payments.</t>
  </si>
  <si>
    <t xml:space="preserve">Interest you pay / month</t>
  </si>
  <si>
    <t xml:space="preserve">Interest you pay / year</t>
  </si>
  <si>
    <t xml:space="preserve">WHAT ONE HOUR OF YOUR LIFE IS WORTH</t>
  </si>
  <si>
    <t xml:space="preserve">Item</t>
  </si>
  <si>
    <t xml:space="preserve">Value</t>
  </si>
  <si>
    <t xml:space="preserve">Net money in / month</t>
  </si>
  <si>
    <t xml:space="preserve">Keep your first hour: the first hour of every workday is paid to you, not to your bills. Set up a standing transfer for this amount on payday. If it's too much right now, start with a quarter of it.</t>
  </si>
  <si>
    <t xml:space="preserve">Contract hours / week</t>
  </si>
  <si>
    <t xml:space="preserve">Unpaid overtime / week</t>
  </si>
  <si>
    <t xml:space="preserve">Commute hours / week</t>
  </si>
  <si>
    <t xml:space="preserve">Real hours / month</t>
  </si>
  <si>
    <t xml:space="preserve">Your real hourly value</t>
  </si>
  <si>
    <t xml:space="preserve">Before any purchase over €50, divide the price by your real hourly value. That's how many hours of your life it costs.</t>
  </si>
  <si>
    <t xml:space="preserve">Workdays / month</t>
  </si>
  <si>
    <t xml:space="preserve">Keep your first hour / month</t>
  </si>
  <si>
    <t xml:space="preserve">S · Save</t>
  </si>
  <si>
    <t xml:space="preserve">The order matters. First a 1-month buffer, then clear consumer debt, then a full emergency fund (3 months; 6 if you're a carer, self-employed or the only earner). Then goals.</t>
  </si>
  <si>
    <t xml:space="preserve">EMERGENCY FUND</t>
  </si>
  <si>
    <t xml:space="preserve">Monthly needs (baseline)</t>
  </si>
  <si>
    <t xml:space="preserve">Keep it separate from your everyday account, easy to reach within a day or two, and boring. This money is insurance, not an investment.</t>
  </si>
  <si>
    <t xml:space="preserve">Months of safety you want</t>
  </si>
  <si>
    <t xml:space="preserve">Starter buffer (1 month)</t>
  </si>
  <si>
    <t xml:space="preserve">Full emergency fund target</t>
  </si>
  <si>
    <t xml:space="preserve">Saved so far</t>
  </si>
  <si>
    <t xml:space="preserve">Progress</t>
  </si>
  <si>
    <t xml:space="preserve">Monthly transfer to it</t>
  </si>
  <si>
    <t xml:space="preserve">Months until full fund</t>
  </si>
  <si>
    <t xml:space="preserve">GOAL POTS (sinking funds)</t>
  </si>
  <si>
    <t xml:space="preserve">Goal</t>
  </si>
  <si>
    <t xml:space="preserve">Target €</t>
  </si>
  <si>
    <t xml:space="preserve">Saved €</t>
  </si>
  <si>
    <t xml:space="preserve">Months left</t>
  </si>
  <si>
    <t xml:space="preserve">Care costs &amp; time off</t>
  </si>
  <si>
    <t xml:space="preserve">Christmas &amp; birthdays</t>
  </si>
  <si>
    <t xml:space="preserve">Holiday with family</t>
  </si>
  <si>
    <t xml:space="preserve">Total monthly to goal pots</t>
  </si>
  <si>
    <t xml:space="preserve">Total monthly saving (fund + pots)</t>
  </si>
  <si>
    <t xml:space="preserve">Still unassigned from KEEP</t>
  </si>
  <si>
    <t xml:space="preserve">If 'still unassigned' is negative, your plan spends more than you keep. Lower a transfer until it's zero or positive.</t>
  </si>
  <si>
    <t xml:space="preserve">T · Time</t>
  </si>
  <si>
    <t xml:space="preserve">A week has 168 hours. Map a realistic one, including care and recovery. Then decide which hours you'll protect for the people you love, and how many (if any) go to building options.</t>
  </si>
  <si>
    <t xml:space="preserve">Area</t>
  </si>
  <si>
    <t xml:space="preserve">Hours / week now</t>
  </si>
  <si>
    <t xml:space="preserve">Hours / week goal</t>
  </si>
  <si>
    <t xml:space="preserve">What would change it?</t>
  </si>
  <si>
    <t xml:space="preserve">Sleep</t>
  </si>
  <si>
    <t xml:space="preserve">Phone out of the bedroom</t>
  </si>
  <si>
    <t xml:space="preserve">Paid work (incl. overtime)</t>
  </si>
  <si>
    <t xml:space="preserve">Stop answering email after 7pm</t>
  </si>
  <si>
    <t xml:space="preserve">Commute</t>
  </si>
  <si>
    <t xml:space="preserve">Ask sibling for one fixed day</t>
  </si>
  <si>
    <t xml:space="preserve">Household &amp; admin</t>
  </si>
  <si>
    <t xml:space="preserve">One big shop per week</t>
  </si>
  <si>
    <t xml:space="preserve">Family &amp; friends time</t>
  </si>
  <si>
    <t xml:space="preserve">Protected Sunday afternoon</t>
  </si>
  <si>
    <t xml:space="preserve">Health &amp; movement</t>
  </si>
  <si>
    <t xml:space="preserve">Walk at lunch</t>
  </si>
  <si>
    <t xml:space="preserve">Building options (learning / side income)</t>
  </si>
  <si>
    <t xml:space="preserve">Two 2-hour blocks, Tue &amp; Sat</t>
  </si>
  <si>
    <t xml:space="preserve">Rest &amp; yourself</t>
  </si>
  <si>
    <t xml:space="preserve">Hours planned</t>
  </si>
  <si>
    <t xml:space="preserve">Unplanned hours (of 168)</t>
  </si>
  <si>
    <t xml:space="preserve">Family time gained / week</t>
  </si>
  <si>
    <t xml:space="preserve">Family time gained / year</t>
  </si>
  <si>
    <t xml:space="preserve">Negative unplanned hours mean the week doesn't fit. Something has to go before anything new comes in. Never take side-project hours out of sleep or family first.</t>
  </si>
  <si>
    <t xml:space="preserve">Your hourly value at work</t>
  </si>
  <si>
    <t xml:space="preserve">This is roughly what extra income or savings would need to replace if you reduced your paid hours to your goal. A concrete target for the Income Streams tab.</t>
  </si>
  <si>
    <t xml:space="preserve">Value of the work hours you want back / year</t>
  </si>
  <si>
    <t xml:space="preserve">Income Streams</t>
  </si>
  <si>
    <t xml:space="preserve">Build one stream at a time, beside your career. Log every stream here, including a raise you negotiated. Watch € per hour: a stream that pays less than your job per hour must be buying you something else (skills, assets, freedom later).</t>
  </si>
  <si>
    <t xml:space="preserve">Stream</t>
  </si>
  <si>
    <t xml:space="preserve">Type</t>
  </si>
  <si>
    <t xml:space="preserve">Status</t>
  </si>
  <si>
    <t xml:space="preserve">Hours / week</t>
  </si>
  <si>
    <t xml:space="preserve">Started (month)</t>
  </si>
  <si>
    <t xml:space="preserve">€ / month (net)</t>
  </si>
  <si>
    <t xml:space="preserve">€ per hour</t>
  </si>
  <si>
    <t xml:space="preserve">Next small step</t>
  </si>
  <si>
    <t xml:space="preserve">Salary raise negotiated</t>
  </si>
  <si>
    <t xml:space="preserve">Career (raise/promotion)</t>
  </si>
  <si>
    <t xml:space="preserve">Earning</t>
  </si>
  <si>
    <t xml:space="preserve">2026-03</t>
  </si>
  <si>
    <t xml:space="preserve">Prepare next review in March</t>
  </si>
  <si>
    <t xml:space="preserve">Cybersecurity starter guide</t>
  </si>
  <si>
    <t xml:space="preserve">Digital product</t>
  </si>
  <si>
    <t xml:space="preserve">Testing</t>
  </si>
  <si>
    <t xml:space="preserve">2026-08</t>
  </si>
  <si>
    <t xml:space="preserve">Post 3 reels pointing to it</t>
  </si>
  <si>
    <t xml:space="preserve">UGC for a skincare brand</t>
  </si>
  <si>
    <t xml:space="preserve">UGC</t>
  </si>
  <si>
    <t xml:space="preserve">Idea</t>
  </si>
  <si>
    <t xml:space="preserve">Make 2 sample videos</t>
  </si>
  <si>
    <t xml:space="preserve">Total extra income / month</t>
  </si>
  <si>
    <t xml:space="preserve">Career growth / month (in salary)</t>
  </si>
  <si>
    <t xml:space="preserve">Hours / week on streams</t>
  </si>
  <si>
    <t xml:space="preserve">Share of your needs covered by extra income</t>
  </si>
  <si>
    <t xml:space="preserve">A raise already shows up in your net salary on T · Track, so it is counted separately and not added to side income twice.</t>
  </si>
  <si>
    <t xml:space="preserve">KEEP — Know your Earnings to Escape your Paycheck</t>
  </si>
  <si>
    <t xml:space="preserve">Your month on one page. Nothing to fill in here: it reads every other tab.</t>
  </si>
  <si>
    <t xml:space="preserve">YOUR FREEDOM LEVEL</t>
  </si>
  <si>
    <t xml:space="preserve">Level number</t>
  </si>
  <si>
    <t xml:space="preserve">MONEY</t>
  </si>
  <si>
    <t xml:space="preserve">TIME &amp; OPTIONS</t>
  </si>
  <si>
    <t xml:space="preserve">Money in / month</t>
  </si>
  <si>
    <t xml:space="preserve">1 hour of your life is worth</t>
  </si>
  <si>
    <t xml:space="preserve">Needs (baseline)</t>
  </si>
  <si>
    <t xml:space="preserve">What you KEEP / month</t>
  </si>
  <si>
    <t xml:space="preserve">Hours / week on income streams</t>
  </si>
  <si>
    <t xml:space="preserve">Needs covered by extra income</t>
  </si>
  <si>
    <t xml:space="preserve">Family time gained / week (goal)</t>
  </si>
  <si>
    <t xml:space="preserve">Reclaimable / month</t>
  </si>
  <si>
    <t xml:space="preserve">Unassigned KEEP after savings plan</t>
  </si>
  <si>
    <t xml:space="preserve">Reclaimable / year</t>
  </si>
  <si>
    <t xml:space="preserve">Career growth / month</t>
  </si>
  <si>
    <t xml:space="preserve">SAFETY</t>
  </si>
  <si>
    <t xml:space="preserve">Debt to clear</t>
  </si>
  <si>
    <t xml:space="preserve">THE FREEDOM LADDER</t>
  </si>
  <si>
    <t xml:space="preserve">0 · Overwhelmed: more out than in</t>
  </si>
  <si>
    <t xml:space="preserve">Emergency fund saved</t>
  </si>
  <si>
    <t xml:space="preserve">1 · Stable: KEEP is €0 or more</t>
  </si>
  <si>
    <t xml:space="preserve">Emergency fund target</t>
  </si>
  <si>
    <t xml:space="preserve">2 · Buffered: 1 month of needs saved</t>
  </si>
  <si>
    <t xml:space="preserve">Fund progress</t>
  </si>
  <si>
    <t xml:space="preserve">3 · Debt-free: consumer debt cleared</t>
  </si>
  <si>
    <t xml:space="preserve">Extra income / month</t>
  </si>
  <si>
    <t xml:space="preserve">4 · Secure: full emergency fund</t>
  </si>
  <si>
    <t xml:space="preserve">5 · Flexible: extra income ≥ 25% of needs</t>
  </si>
  <si>
    <t xml:space="preserve">6 · Free to choose: extra income ≥ needs</t>
  </si>
  <si>
    <t xml:space="preserve">Your career is the engine. Keep your first hour, and keep going. — Liliane</t>
  </si>
  <si>
    <t xml:space="preserve">Educational tool. Not financial advice.</t>
  </si>
  <si>
    <t xml:space="preserve">Monthly Review</t>
  </si>
  <si>
    <t xml:space="preserve">Once a month, 15 minutes: copy the numbers from KEEP into a new row. The level calculates itself. Write one win, however small.</t>
  </si>
  <si>
    <t xml:space="preserve">Month</t>
  </si>
  <si>
    <t xml:space="preserve">Money in</t>
  </si>
  <si>
    <t xml:space="preserve">Needs</t>
  </si>
  <si>
    <t xml:space="preserve">KEEP</t>
  </si>
  <si>
    <t xml:space="preserve">Emergency fund</t>
  </si>
  <si>
    <t xml:space="preserve">Extra income</t>
  </si>
  <si>
    <t xml:space="preserve">Level</t>
  </si>
  <si>
    <t xml:space="preserve">One win this month</t>
  </si>
  <si>
    <t xml:space="preserve">Sep 2026</t>
  </si>
  <si>
    <t xml:space="preserve">Cancelled 2 subscriptions</t>
  </si>
  <si>
    <t xml:space="preserve">Oct 2026</t>
  </si>
  <si>
    <t xml:space="preserve">First €60 from my guide</t>
  </si>
  <si>
    <t xml:space="preserve">Level 0 · Overwhelmed</t>
  </si>
  <si>
    <t xml:space="preserve">Freelance / consulting</t>
  </si>
  <si>
    <t xml:space="preserve">Level 1 · Stable</t>
  </si>
  <si>
    <t xml:space="preserve">Level 2 · Buffered</t>
  </si>
  <si>
    <t xml:space="preserve">Paused</t>
  </si>
  <si>
    <t xml:space="preserve">Level 3 · Debt-free</t>
  </si>
  <si>
    <t xml:space="preserve">YouTube / content</t>
  </si>
  <si>
    <t xml:space="preserve">Level 4 · Secure</t>
  </si>
  <si>
    <t xml:space="preserve">Childcare</t>
  </si>
  <si>
    <t xml:space="preserve">Brand deals</t>
  </si>
  <si>
    <t xml:space="preserve">Level 5 · Flexible</t>
  </si>
  <si>
    <t xml:space="preserve">Affiliate</t>
  </si>
  <si>
    <t xml:space="preserve">Level 6 · Free to choose</t>
  </si>
  <si>
    <t xml:space="preserve">Health</t>
  </si>
  <si>
    <t xml:space="preserve">Investment income</t>
  </si>
  <si>
    <t xml:space="preserve">Other</t>
  </si>
  <si>
    <t xml:space="preserve">Fun &amp; hobbies</t>
  </si>
  <si>
    <t xml:space="preserve">Gifts</t>
  </si>
  <si>
    <t xml:space="preserve">Travel</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</si>
</sst>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0%"/>
    <numFmt numFmtId="168" formatCode="\€#,##0.00;&quot;-€&quot;#,##0.00;\–"/>
    <numFmt numFmtId="169" formatCode="0"/>
    <numFmt numFmtId="170" formatCode="0.0"/>
  </numFmts>
  <fonts count="33">
    <font>
      <sz val="11"/>
      <color theme="1"/>
      <name val="Calibri"/>
      <family val="2"/>
      <charset val="1"/>
    </font>
    <font>
      <sz val="10"/>
      <name val="Arial"/>
      <family val="0"/>
    </font>
    <font>
      <sz val="10"/>
      <name val="Arial"/>
      <family val="0"/>
    </font>
    <font>
      <sz val="10"/>
      <name val="Arial"/>
      <family val="0"/>
    </font>
    <font>
      <b val="true"/>
      <sz val="22"/>
      <color rgb="FFFFFFFF"/>
      <name val="Georgia"/>
      <family val="0"/>
      <charset val="1"/>
    </font>
    <font>
      <i val="true"/>
      <sz val="14"/>
      <color rgb="FF1A9E9E"/>
      <name val="Georgia"/>
      <family val="0"/>
      <charset val="1"/>
    </font>
    <font>
      <b val="true"/>
      <sz val="10.5"/>
      <color rgb="FF134E4E"/>
      <name val="Arial"/>
      <family val="0"/>
      <charset val="1"/>
    </font>
    <font>
      <sz val="10.5"/>
      <color rgb="FF213534"/>
      <name val="Arial"/>
      <family val="0"/>
      <charset val="1"/>
    </font>
    <font>
      <i val="true"/>
      <sz val="12"/>
      <color rgb="FF9E1B5E"/>
      <name val="Georgia"/>
      <family val="0"/>
      <charset val="1"/>
    </font>
    <font>
      <b val="true"/>
      <sz val="10"/>
      <color rgb="FF9E1B5E"/>
      <name val="Arial"/>
      <family val="0"/>
      <charset val="1"/>
    </font>
    <font>
      <b val="true"/>
      <sz val="10.5"/>
      <color rgb="FF9E1B5E"/>
      <name val="Arial"/>
      <family val="0"/>
      <charset val="1"/>
    </font>
    <font>
      <i val="true"/>
      <sz val="10.5"/>
      <color rgb="FF6E8180"/>
      <name val="Arial"/>
      <family val="0"/>
      <charset val="1"/>
    </font>
    <font>
      <i val="true"/>
      <sz val="13"/>
      <color rgb="FF1A9E9E"/>
      <name val="Georgia"/>
      <family val="0"/>
      <charset val="1"/>
    </font>
    <font>
      <b val="true"/>
      <sz val="10.5"/>
      <color rgb="FF0F6E6E"/>
      <name val="Arial"/>
      <family val="0"/>
      <charset val="1"/>
    </font>
    <font>
      <sz val="8.5"/>
      <color rgb="FF6E8180"/>
      <name val="Arial"/>
      <family val="0"/>
      <charset val="1"/>
    </font>
    <font>
      <b val="true"/>
      <sz val="20"/>
      <color rgb="FFFFFFFF"/>
      <name val="Georgia"/>
      <family val="0"/>
      <charset val="1"/>
    </font>
    <font>
      <i val="true"/>
      <sz val="10"/>
      <color rgb="FF6E8180"/>
      <name val="Arial"/>
      <family val="0"/>
      <charset val="1"/>
    </font>
    <font>
      <b val="true"/>
      <sz val="11"/>
      <color rgb="FF9E1B5E"/>
      <name val="Arial"/>
      <family val="0"/>
      <charset val="1"/>
    </font>
    <font>
      <b val="true"/>
      <sz val="10"/>
      <color rgb="FF134E4E"/>
      <name val="Arial"/>
      <family val="0"/>
      <charset val="1"/>
    </font>
    <font>
      <sz val="10"/>
      <color rgb="FF213534"/>
      <name val="Arial"/>
      <family val="0"/>
      <charset val="1"/>
    </font>
    <font>
      <b val="true"/>
      <sz val="10"/>
      <color rgb="FF0000FF"/>
      <name val="Arial"/>
      <family val="0"/>
      <charset val="1"/>
    </font>
    <font>
      <b val="true"/>
      <sz val="10"/>
      <color rgb="FF1A9E9E"/>
      <name val="Arial"/>
      <family val="0"/>
      <charset val="1"/>
    </font>
    <font>
      <b val="true"/>
      <sz val="9"/>
      <color rgb="FFFFFFFF"/>
      <name val="Arial"/>
      <family val="0"/>
      <charset val="1"/>
    </font>
    <font>
      <sz val="10"/>
      <color rgb="FF0000FF"/>
      <name val="Arial"/>
      <family val="0"/>
      <charset val="1"/>
    </font>
    <font>
      <sz val="10"/>
      <color rgb="FF008000"/>
      <name val="Arial"/>
      <family val="0"/>
      <charset val="1"/>
    </font>
    <font>
      <b val="true"/>
      <sz val="10"/>
      <color rgb="FF213534"/>
      <name val="Arial"/>
      <family val="0"/>
      <charset val="1"/>
    </font>
    <font>
      <sz val="10"/>
      <color rgb="FF6E8180"/>
      <name val="Arial"/>
      <family val="0"/>
      <charset val="1"/>
    </font>
    <font>
      <sz val="10"/>
      <color rgb="FF9E1B5E"/>
      <name val="Arial"/>
      <family val="0"/>
      <charset val="1"/>
    </font>
    <font>
      <sz val="10"/>
      <name val="Arial"/>
      <family val="2"/>
    </font>
    <font>
      <sz val="10"/>
      <color rgb="FF1A9E9E"/>
      <name val="Arial"/>
      <family val="0"/>
      <charset val="1"/>
    </font>
    <font>
      <b val="true"/>
      <sz val="18"/>
      <color rgb="FFFFFFFF"/>
      <name val="Georgia"/>
      <family val="0"/>
      <charset val="1"/>
    </font>
    <font>
      <i val="true"/>
      <sz val="10"/>
      <color rgb="FF0F6E6E"/>
      <name val="Arial"/>
      <family val="0"/>
      <charset val="1"/>
    </font>
    <font>
      <sz val="8"/>
      <color rgb="FF6E8180"/>
      <name val="Arial"/>
      <family val="0"/>
      <charset val="1"/>
    </font>
  </fonts>
  <fills count="8">
    <fill>
      <patternFill patternType="none"/>
    </fill>
    <fill>
      <patternFill patternType="gray125"/>
    </fill>
    <fill>
      <patternFill patternType="solid">
        <fgColor rgb="FF134E4E"/>
        <bgColor rgb="FF213534"/>
      </patternFill>
    </fill>
    <fill>
      <patternFill patternType="solid">
        <fgColor rgb="FFF2F8F7"/>
        <bgColor rgb="FFE8F4F2"/>
      </patternFill>
    </fill>
    <fill>
      <patternFill patternType="solid">
        <fgColor rgb="FFE8F4F2"/>
        <bgColor rgb="FFF2F8F7"/>
      </patternFill>
    </fill>
    <fill>
      <patternFill patternType="solid">
        <fgColor rgb="FFF7E7EF"/>
        <bgColor rgb="FFE8F4F2"/>
      </patternFill>
    </fill>
    <fill>
      <patternFill patternType="solid">
        <fgColor rgb="FFFFF7E0"/>
        <bgColor rgb="FFF2F8F7"/>
      </patternFill>
    </fill>
    <fill>
      <patternFill patternType="solid">
        <fgColor rgb="FF1A9E9E"/>
        <bgColor rgb="FF008080"/>
      </patternFill>
    </fill>
  </fills>
  <borders count="2">
    <border diagonalUp="false" diagonalDown="false">
      <left/>
      <right/>
      <top/>
      <bottom/>
      <diagonal/>
    </border>
    <border diagonalUp="false" diagonalDown="false">
      <left style="thin">
        <color rgb="FFDDEAE8"/>
      </left>
      <right style="thin">
        <color rgb="FFDDEAE8"/>
      </right>
      <top style="thin">
        <color rgb="FFDDEAE8"/>
      </top>
      <bottom style="thin">
        <color rgb="FFDDEA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1" shrinkToFit="false"/>
      <protection locked="true" hidden="false"/>
    </xf>
    <xf numFmtId="164" fontId="5" fillId="0" borderId="0" xfId="0" applyFont="true" applyBorder="false" applyAlignment="true" applyProtection="false">
      <alignment horizontal="general" vertical="center" textRotation="0" wrapText="true" indent="1" shrinkToFit="false"/>
      <protection locked="true" hidden="false"/>
    </xf>
    <xf numFmtId="164" fontId="6" fillId="3" borderId="0" xfId="0" applyFont="true" applyBorder="false" applyAlignment="true" applyProtection="false">
      <alignment horizontal="general" vertical="top"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4" borderId="0" xfId="0" applyFont="true" applyBorder="false" applyAlignment="true" applyProtection="false">
      <alignment horizontal="general" vertical="top" textRotation="0" wrapText="true" indent="1" shrinkToFit="false"/>
      <protection locked="true" hidden="false"/>
    </xf>
    <xf numFmtId="164" fontId="9" fillId="0" borderId="0" xfId="0" applyFont="true" applyBorder="false" applyAlignment="true" applyProtection="false">
      <alignment horizontal="general" vertical="top" textRotation="0" wrapText="true" indent="1" shrinkToFit="false"/>
      <protection locked="true" hidden="false"/>
    </xf>
    <xf numFmtId="164" fontId="10" fillId="5" borderId="0" xfId="0" applyFont="true" applyBorder="false" applyAlignment="true" applyProtection="false">
      <alignment horizontal="general" vertical="top" textRotation="0" wrapText="true" indent="1" shrinkToFit="false"/>
      <protection locked="true" hidden="false"/>
    </xf>
    <xf numFmtId="164" fontId="11" fillId="0" borderId="0" xfId="0" applyFont="true" applyBorder="false" applyAlignment="true" applyProtection="false">
      <alignment horizontal="general" vertical="top" textRotation="0" wrapText="true" indent="1" shrinkToFit="false"/>
      <protection locked="true" hidden="false"/>
    </xf>
    <xf numFmtId="164" fontId="12" fillId="4" borderId="0" xfId="0" applyFont="true" applyBorder="false" applyAlignment="true" applyProtection="false">
      <alignment horizontal="general" vertical="top" textRotation="0" wrapText="true" indent="1" shrinkToFit="false"/>
      <protection locked="true" hidden="false"/>
    </xf>
    <xf numFmtId="164" fontId="13" fillId="0" borderId="0" xfId="0" applyFont="true" applyBorder="false" applyAlignment="true" applyProtection="false">
      <alignment horizontal="general" vertical="top" textRotation="0" wrapText="true" indent="1" shrinkToFit="false"/>
      <protection locked="true" hidden="false"/>
    </xf>
    <xf numFmtId="164" fontId="14" fillId="0" borderId="0" xfId="0" applyFont="true" applyBorder="false" applyAlignment="true" applyProtection="false">
      <alignment horizontal="general" vertical="top" textRotation="0" wrapText="true" indent="1" shrinkToFit="false"/>
      <protection locked="true" hidden="false"/>
    </xf>
    <xf numFmtId="164" fontId="15" fillId="2" borderId="0" xfId="0" applyFont="true" applyBorder="true" applyAlignment="true" applyProtection="false">
      <alignment horizontal="general" vertical="center" textRotation="0" wrapText="false" indent="1" shrinkToFit="false"/>
      <protection locked="true" hidden="false"/>
    </xf>
    <xf numFmtId="164" fontId="16" fillId="0" borderId="0" xfId="0" applyFont="true" applyBorder="true" applyAlignment="true" applyProtection="false">
      <alignment horizontal="general" vertical="top" textRotation="0" wrapText="tru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3" fillId="6" borderId="1" xfId="0" applyFont="true" applyBorder="true" applyAlignment="false" applyProtection="false">
      <alignment horizontal="general" vertical="bottom" textRotation="0" wrapText="false" indent="0" shrinkToFit="false"/>
      <protection locked="true" hidden="false"/>
    </xf>
    <xf numFmtId="165" fontId="23" fillId="6" borderId="1" xfId="0" applyFont="true" applyBorder="true" applyAlignment="false" applyProtection="false">
      <alignment horizontal="general" vertical="bottom" textRotation="0" wrapText="false" indent="0" shrinkToFit="false"/>
      <protection locked="true" hidden="false"/>
    </xf>
    <xf numFmtId="165" fontId="24" fillId="6" borderId="1" xfId="0" applyFont="true" applyBorder="true" applyAlignment="false" applyProtection="false">
      <alignment horizontal="general" vertical="bottom" textRotation="0" wrapText="false" indent="0" shrinkToFit="false"/>
      <protection locked="true" hidden="false"/>
    </xf>
    <xf numFmtId="165" fontId="25" fillId="4" borderId="1"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5" fontId="19" fillId="0"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5" fontId="27"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5" fontId="21" fillId="4" borderId="1" xfId="0" applyFont="true" applyBorder="true" applyAlignment="false" applyProtection="false">
      <alignment horizontal="general" vertical="bottom" textRotation="0" wrapText="false" indent="0" shrinkToFit="false"/>
      <protection locked="true" hidden="false"/>
    </xf>
    <xf numFmtId="166" fontId="21" fillId="4" borderId="1" xfId="0" applyFont="true" applyBorder="true" applyAlignment="false" applyProtection="false">
      <alignment horizontal="general" vertical="bottom" textRotation="0" wrapText="false" indent="0" shrinkToFit="false"/>
      <protection locked="true" hidden="false"/>
    </xf>
    <xf numFmtId="165" fontId="29"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7" fontId="23" fillId="6" borderId="1" xfId="0" applyFont="true" applyBorder="true" applyAlignment="false" applyProtection="false">
      <alignment horizontal="general" vertical="bottom" textRotation="0" wrapText="false" indent="0" shrinkToFit="false"/>
      <protection locked="true" hidden="false"/>
    </xf>
    <xf numFmtId="168" fontId="27" fillId="0" borderId="1" xfId="0" applyFont="true" applyBorder="true" applyAlignment="false" applyProtection="false">
      <alignment horizontal="general" vertical="bottom" textRotation="0" wrapText="false" indent="0" shrinkToFit="false"/>
      <protection locked="true" hidden="false"/>
    </xf>
    <xf numFmtId="169" fontId="1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5" fontId="24" fillId="0" borderId="1" xfId="0" applyFont="true" applyBorder="true" applyAlignment="false" applyProtection="false">
      <alignment horizontal="general" vertical="bottom" textRotation="0" wrapText="false" indent="0" shrinkToFit="false"/>
      <protection locked="true" hidden="false"/>
    </xf>
    <xf numFmtId="170" fontId="23" fillId="6" borderId="1"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70" fontId="19" fillId="0" borderId="1" xfId="0" applyFont="true" applyBorder="true" applyAlignment="false" applyProtection="false">
      <alignment horizontal="general" vertical="bottom" textRotation="0" wrapText="false" indent="0" shrinkToFit="false"/>
      <protection locked="true" hidden="false"/>
    </xf>
    <xf numFmtId="168" fontId="21" fillId="4" borderId="1" xfId="0" applyFont="true" applyBorder="true" applyAlignment="false" applyProtection="false">
      <alignment horizontal="general" vertical="bottom" textRotation="0" wrapText="false" indent="0" shrinkToFit="false"/>
      <protection locked="true" hidden="false"/>
    </xf>
    <xf numFmtId="169" fontId="23" fillId="6" borderId="1" xfId="0" applyFont="true" applyBorder="true" applyAlignment="false" applyProtection="false">
      <alignment horizontal="general" vertical="bottom" textRotation="0" wrapText="false" indent="0" shrinkToFit="false"/>
      <protection locked="true" hidden="false"/>
    </xf>
    <xf numFmtId="165" fontId="25" fillId="0" borderId="1" xfId="0" applyFont="true" applyBorder="true" applyAlignment="false" applyProtection="false">
      <alignment horizontal="general" vertical="bottom" textRotation="0" wrapText="false" indent="0" shrinkToFit="false"/>
      <protection locked="true" hidden="false"/>
    </xf>
    <xf numFmtId="166" fontId="29" fillId="0" borderId="1" xfId="0" applyFont="true" applyBorder="true" applyAlignment="false" applyProtection="false">
      <alignment horizontal="general" vertical="bottom" textRotation="0" wrapText="false" indent="0" shrinkToFit="false"/>
      <protection locked="true" hidden="false"/>
    </xf>
    <xf numFmtId="170" fontId="25" fillId="0" borderId="1" xfId="0" applyFont="true" applyBorder="true" applyAlignment="false" applyProtection="false">
      <alignment horizontal="general" vertical="bottom" textRotation="0" wrapText="false" indent="0" shrinkToFit="false"/>
      <protection locked="true" hidden="false"/>
    </xf>
    <xf numFmtId="170" fontId="21" fillId="4"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9" fillId="0" borderId="1" xfId="0" applyFont="true" applyBorder="true" applyAlignment="false" applyProtection="false">
      <alignment horizontal="general" vertical="bottom" textRotation="0" wrapText="false" indent="0" shrinkToFit="false"/>
      <protection locked="true" hidden="false"/>
    </xf>
    <xf numFmtId="170" fontId="25"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30" fillId="2" borderId="0" xfId="0" applyFont="true" applyBorder="true" applyAlignment="true" applyProtection="false">
      <alignment horizontal="general" vertical="center" textRotation="0" wrapText="false" indent="1" shrinkToFit="false"/>
      <protection locked="true" hidden="false"/>
    </xf>
    <xf numFmtId="164" fontId="19" fillId="4" borderId="0" xfId="0" applyFont="true" applyBorder="true" applyAlignment="true" applyProtection="false">
      <alignment horizontal="general" vertical="center" textRotation="0" wrapText="true" indent="1" shrinkToFit="false"/>
      <protection locked="true" hidden="false"/>
    </xf>
    <xf numFmtId="169" fontId="25" fillId="0" borderId="1" xfId="0" applyFont="true" applyBorder="true" applyAlignment="false" applyProtection="false">
      <alignment horizontal="general" vertical="bottom" textRotation="0" wrapText="false" indent="0" shrinkToFit="false"/>
      <protection locked="true" hidden="false"/>
    </xf>
    <xf numFmtId="165" fontId="25" fillId="3" borderId="1" xfId="0" applyFont="true" applyBorder="true" applyAlignment="false" applyProtection="false">
      <alignment horizontal="general" vertical="bottom" textRotation="0" wrapText="false" indent="0" shrinkToFit="false"/>
      <protection locked="true" hidden="false"/>
    </xf>
    <xf numFmtId="168" fontId="18" fillId="3" borderId="1" xfId="0" applyFont="true" applyBorder="true" applyAlignment="false" applyProtection="false">
      <alignment horizontal="general" vertical="bottom" textRotation="0" wrapText="false" indent="0" shrinkToFit="false"/>
      <protection locked="true" hidden="false"/>
    </xf>
    <xf numFmtId="165" fontId="18" fillId="3" borderId="1" xfId="0" applyFont="true" applyBorder="true" applyAlignment="false" applyProtection="false">
      <alignment horizontal="general" vertical="bottom" textRotation="0" wrapText="false" indent="0" shrinkToFit="false"/>
      <protection locked="true" hidden="false"/>
    </xf>
    <xf numFmtId="165" fontId="21" fillId="3" borderId="1" xfId="0" applyFont="true" applyBorder="true" applyAlignment="false" applyProtection="false">
      <alignment horizontal="general" vertical="bottom" textRotation="0" wrapText="false" indent="0" shrinkToFit="false"/>
      <protection locked="true" hidden="false"/>
    </xf>
    <xf numFmtId="170" fontId="25" fillId="3" borderId="1" xfId="0" applyFont="true" applyBorder="true" applyAlignment="false" applyProtection="false">
      <alignment horizontal="general" vertical="bottom" textRotation="0" wrapText="false" indent="0" shrinkToFit="false"/>
      <protection locked="true" hidden="false"/>
    </xf>
    <xf numFmtId="166" fontId="21"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false" indent="0" shrinkToFit="false"/>
      <protection locked="true" hidden="false"/>
    </xf>
    <xf numFmtId="164" fontId="31" fillId="0" borderId="0" xfId="0" applyFont="true" applyBorder="false" applyAlignment="true" applyProtection="false">
      <alignment horizontal="general" vertical="top" textRotation="0" wrapText="false" indent="0" shrinkToFit="false"/>
      <protection locked="true" hidden="false"/>
    </xf>
    <xf numFmtId="164" fontId="32" fillId="0" borderId="0" xfId="0" applyFont="true" applyBorder="false" applyAlignment="true" applyProtection="false">
      <alignment horizontal="general" vertical="top"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FFFFFF"/>
      </font>
      <fill>
        <patternFill>
          <bgColor rgb="FF1A9E9E"/>
        </patternFill>
      </fill>
    </dxf>
    <dxf>
      <font>
        <name val="Arial"/>
        <charset val="1"/>
        <family val="0"/>
        <b val="1"/>
        <color rgb="FF9E1B5E"/>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6E"/>
      <rgbColor rgb="FFC0C0C0"/>
      <rgbColor rgb="FF6E8180"/>
      <rgbColor rgb="FF9999FF"/>
      <rgbColor rgb="FF9E1B5E"/>
      <rgbColor rgb="FFFFF7E0"/>
      <rgbColor rgb="FFE8F4F2"/>
      <rgbColor rgb="FF660066"/>
      <rgbColor rgb="FFFF8080"/>
      <rgbColor rgb="FF0066CC"/>
      <rgbColor rgb="FFF7E7EF"/>
      <rgbColor rgb="FF000080"/>
      <rgbColor rgb="FFFF00FF"/>
      <rgbColor rgb="FFFFFF00"/>
      <rgbColor rgb="FF00FFFF"/>
      <rgbColor rgb="FF800080"/>
      <rgbColor rgb="FF800000"/>
      <rgbColor rgb="FF008080"/>
      <rgbColor rgb="FF0000FF"/>
      <rgbColor rgb="FF00CCFF"/>
      <rgbColor rgb="FFDDEAE8"/>
      <rgbColor rgb="FFF2F8F7"/>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34E4E"/>
      <rgbColor rgb="FF1A9E9E"/>
      <rgbColor rgb="FF003300"/>
      <rgbColor rgb="FF333300"/>
      <rgbColor rgb="FF993300"/>
      <rgbColor rgb="FF993366"/>
      <rgbColor rgb="FF333399"/>
      <rgbColor rgb="FF2135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1B5E"/>
    <pageSetUpPr fitToPage="false"/>
  </sheetPr>
  <dimension ref="B2:B46"/>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 collapsed="false" customWidth="true" hidden="false" outlineLevel="0" max="3" min="3" style="0" width="3"/>
  </cols>
  <sheetData>
    <row r="2" customFormat="false" ht="43.5" hidden="false" customHeight="true" outlineLevel="0" collapsed="false">
      <c r="B2" s="1" t="s">
        <v>0</v>
      </c>
    </row>
    <row r="3" customFormat="false" ht="33.75" hidden="false" customHeight="true" outlineLevel="0" collapsed="false">
      <c r="B3" s="2" t="s">
        <v>1</v>
      </c>
    </row>
    <row r="5" customFormat="false" ht="78.75" hidden="false" customHeight="true" outlineLevel="0" collapsed="false">
      <c r="B5" s="3" t="s">
        <v>2</v>
      </c>
    </row>
    <row r="6" customFormat="false" ht="48.75" hidden="false" customHeight="true" outlineLevel="0" collapsed="false">
      <c r="B6" s="4" t="s">
        <v>3</v>
      </c>
    </row>
    <row r="7" customFormat="false" ht="33.75" hidden="false" customHeight="true" outlineLevel="0" collapsed="false">
      <c r="B7" s="5" t="s">
        <v>4</v>
      </c>
    </row>
    <row r="8" customFormat="false" ht="108.75" hidden="false" customHeight="true" outlineLevel="0" collapsed="false">
      <c r="B8" s="4" t="s">
        <v>5</v>
      </c>
    </row>
    <row r="10" customFormat="false" ht="18.75" hidden="false" customHeight="true" outlineLevel="0" collapsed="false">
      <c r="B10" s="6" t="s">
        <v>6</v>
      </c>
    </row>
    <row r="11" customFormat="false" ht="93.75" hidden="false" customHeight="true" outlineLevel="0" collapsed="false">
      <c r="B11" s="7" t="s">
        <v>7</v>
      </c>
    </row>
    <row r="12" customFormat="false" ht="78.75" hidden="false" customHeight="true" outlineLevel="0" collapsed="false">
      <c r="B12" s="4" t="s">
        <v>8</v>
      </c>
    </row>
    <row r="13" customFormat="false" ht="33.75" hidden="false" customHeight="true" outlineLevel="0" collapsed="false">
      <c r="B13" s="4" t="s">
        <v>9</v>
      </c>
    </row>
    <row r="15" customFormat="false" ht="18.75" hidden="false" customHeight="true" outlineLevel="0" collapsed="false">
      <c r="B15" s="6" t="s">
        <v>10</v>
      </c>
    </row>
    <row r="16" customFormat="false" ht="18.75" hidden="false" customHeight="true" outlineLevel="0" collapsed="false">
      <c r="B16" s="4" t="s">
        <v>11</v>
      </c>
    </row>
    <row r="17" customFormat="false" ht="18.75" hidden="false" customHeight="true" outlineLevel="0" collapsed="false">
      <c r="B17" s="4" t="s">
        <v>12</v>
      </c>
    </row>
    <row r="18" customFormat="false" ht="18.75" hidden="false" customHeight="true" outlineLevel="0" collapsed="false">
      <c r="B18" s="4" t="s">
        <v>13</v>
      </c>
    </row>
    <row r="19" customFormat="false" ht="18.75" hidden="false" customHeight="true" outlineLevel="0" collapsed="false">
      <c r="B19" s="4" t="s">
        <v>14</v>
      </c>
    </row>
    <row r="20" customFormat="false" ht="18.75" hidden="false" customHeight="true" outlineLevel="0" collapsed="false">
      <c r="B20" s="4" t="s">
        <v>15</v>
      </c>
    </row>
    <row r="21" customFormat="false" ht="18.75" hidden="false" customHeight="true" outlineLevel="0" collapsed="false">
      <c r="B21" s="8" t="s">
        <v>16</v>
      </c>
    </row>
    <row r="23" customFormat="false" ht="18.75" hidden="false" customHeight="true" outlineLevel="0" collapsed="false">
      <c r="B23" s="6" t="s">
        <v>17</v>
      </c>
    </row>
    <row r="24" customFormat="false" ht="33.75" hidden="false" customHeight="true" outlineLevel="0" collapsed="false">
      <c r="B24" s="3" t="s">
        <v>18</v>
      </c>
    </row>
    <row r="25" customFormat="false" ht="18.75" hidden="false" customHeight="true" outlineLevel="0" collapsed="false">
      <c r="B25" s="4" t="s">
        <v>19</v>
      </c>
    </row>
    <row r="26" customFormat="false" ht="18.75" hidden="false" customHeight="true" outlineLevel="0" collapsed="false">
      <c r="B26" s="4" t="s">
        <v>20</v>
      </c>
    </row>
    <row r="27" customFormat="false" ht="18.75" hidden="false" customHeight="true" outlineLevel="0" collapsed="false">
      <c r="B27" s="4" t="s">
        <v>21</v>
      </c>
    </row>
    <row r="28" customFormat="false" ht="18.75" hidden="false" customHeight="true" outlineLevel="0" collapsed="false">
      <c r="B28" s="4" t="s">
        <v>22</v>
      </c>
    </row>
    <row r="29" customFormat="false" ht="18.75" hidden="false" customHeight="true" outlineLevel="0" collapsed="false">
      <c r="B29" s="4" t="s">
        <v>23</v>
      </c>
    </row>
    <row r="30" customFormat="false" ht="33.75" hidden="false" customHeight="true" outlineLevel="0" collapsed="false">
      <c r="B30" s="8" t="s">
        <v>24</v>
      </c>
    </row>
    <row r="32" customFormat="false" ht="18.75" hidden="false" customHeight="true" outlineLevel="0" collapsed="false">
      <c r="B32" s="6" t="s">
        <v>25</v>
      </c>
    </row>
    <row r="33" customFormat="false" ht="33.75" hidden="false" customHeight="true" outlineLevel="0" collapsed="false">
      <c r="B33" s="4" t="s">
        <v>26</v>
      </c>
    </row>
    <row r="34" customFormat="false" ht="18.75" hidden="false" customHeight="true" outlineLevel="0" collapsed="false">
      <c r="B34" s="4" t="s">
        <v>27</v>
      </c>
    </row>
    <row r="35" customFormat="false" ht="18.75" hidden="false" customHeight="true" outlineLevel="0" collapsed="false">
      <c r="B35" s="4" t="s">
        <v>28</v>
      </c>
    </row>
    <row r="36" customFormat="false" ht="18.75" hidden="false" customHeight="true" outlineLevel="0" collapsed="false">
      <c r="B36" s="4" t="s">
        <v>29</v>
      </c>
    </row>
    <row r="37" customFormat="false" ht="18.75" hidden="false" customHeight="true" outlineLevel="0" collapsed="false">
      <c r="B37" s="4" t="s">
        <v>30</v>
      </c>
    </row>
    <row r="38" customFormat="false" ht="18.75" hidden="false" customHeight="true" outlineLevel="0" collapsed="false">
      <c r="B38" s="4" t="s">
        <v>31</v>
      </c>
    </row>
    <row r="40" customFormat="false" ht="18.75" hidden="false" customHeight="true" outlineLevel="0" collapsed="false">
      <c r="B40" s="6" t="s">
        <v>32</v>
      </c>
    </row>
    <row r="41" customFormat="false" ht="33.75" hidden="false" customHeight="true" outlineLevel="0" collapsed="false">
      <c r="B41" s="4" t="s">
        <v>33</v>
      </c>
    </row>
    <row r="43" customFormat="false" ht="63.75" hidden="false" customHeight="true" outlineLevel="0" collapsed="false">
      <c r="B43" s="9" t="s">
        <v>34</v>
      </c>
    </row>
    <row r="44" customFormat="false" ht="33.75" hidden="false" customHeight="true" outlineLevel="0" collapsed="false">
      <c r="B44" s="10" t="s">
        <v>35</v>
      </c>
    </row>
    <row r="46" customFormat="false" ht="33.75" hidden="false" customHeight="true" outlineLevel="0" collapsed="false">
      <c r="B46" s="11"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1B5E"/>
    <pageSetUpPr fitToPage="false"/>
  </sheetPr>
  <dimension ref="B2:C2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70"/>
    <col collapsed="false" customWidth="true" hidden="false" outlineLevel="0" max="4" min="4" style="0" width="3"/>
  </cols>
  <sheetData>
    <row r="2" customFormat="false" ht="39.75" hidden="false" customHeight="true" outlineLevel="0" collapsed="false">
      <c r="B2" s="12" t="s">
        <v>37</v>
      </c>
      <c r="C2" s="12"/>
    </row>
    <row r="3" customFormat="false" ht="31.5" hidden="false" customHeight="true" outlineLevel="0" collapsed="false">
      <c r="B3" s="13" t="s">
        <v>38</v>
      </c>
      <c r="C3" s="13"/>
    </row>
    <row r="5" customFormat="false" ht="15" hidden="false" customHeight="false" outlineLevel="0" collapsed="false">
      <c r="B5" s="14" t="s">
        <v>39</v>
      </c>
    </row>
    <row r="6" customFormat="false" ht="45" hidden="false" customHeight="true" outlineLevel="0" collapsed="false">
      <c r="B6" s="15" t="s">
        <v>40</v>
      </c>
      <c r="C6" s="16" t="s">
        <v>41</v>
      </c>
    </row>
    <row r="7" customFormat="false" ht="30" hidden="false" customHeight="true" outlineLevel="0" collapsed="false">
      <c r="B7" s="15" t="s">
        <v>42</v>
      </c>
      <c r="C7" s="16" t="s">
        <v>43</v>
      </c>
    </row>
    <row r="8" customFormat="false" ht="30" hidden="false" customHeight="true" outlineLevel="0" collapsed="false">
      <c r="B8" s="15" t="s">
        <v>44</v>
      </c>
      <c r="C8" s="16" t="s">
        <v>45</v>
      </c>
    </row>
    <row r="9" customFormat="false" ht="30" hidden="false" customHeight="true" outlineLevel="0" collapsed="false">
      <c r="B9" s="15" t="s">
        <v>46</v>
      </c>
      <c r="C9" s="16" t="s">
        <v>47</v>
      </c>
    </row>
    <row r="10" customFormat="false" ht="15" hidden="false" customHeight="false" outlineLevel="0" collapsed="false">
      <c r="B10" s="15"/>
      <c r="C10" s="16"/>
    </row>
    <row r="11" customFormat="false" ht="15" hidden="false" customHeight="false" outlineLevel="0" collapsed="false">
      <c r="B11" s="14" t="s">
        <v>48</v>
      </c>
    </row>
    <row r="12" customFormat="false" ht="30" hidden="false" customHeight="true" outlineLevel="0" collapsed="false">
      <c r="B12" s="15" t="s">
        <v>49</v>
      </c>
      <c r="C12" s="16" t="s">
        <v>50</v>
      </c>
    </row>
    <row r="13" customFormat="false" ht="30" hidden="false" customHeight="true" outlineLevel="0" collapsed="false">
      <c r="B13" s="15" t="s">
        <v>51</v>
      </c>
      <c r="C13" s="16" t="s">
        <v>52</v>
      </c>
    </row>
    <row r="14" customFormat="false" ht="15" hidden="false" customHeight="false" outlineLevel="0" collapsed="false">
      <c r="B14" s="15"/>
      <c r="C14" s="16"/>
    </row>
    <row r="15" customFormat="false" ht="15" hidden="false" customHeight="false" outlineLevel="0" collapsed="false">
      <c r="B15" s="14" t="s">
        <v>53</v>
      </c>
    </row>
    <row r="16" customFormat="false" ht="15" hidden="false" customHeight="false" outlineLevel="0" collapsed="false">
      <c r="B16" s="17" t="s">
        <v>54</v>
      </c>
      <c r="C16" s="16" t="s">
        <v>55</v>
      </c>
    </row>
    <row r="17" customFormat="false" ht="15" hidden="false" customHeight="false" outlineLevel="0" collapsed="false">
      <c r="B17" s="15" t="s">
        <v>56</v>
      </c>
      <c r="C17" s="16" t="s">
        <v>57</v>
      </c>
    </row>
    <row r="18" customFormat="false" ht="15" hidden="false" customHeight="false" outlineLevel="0" collapsed="false">
      <c r="B18" s="18" t="s">
        <v>58</v>
      </c>
      <c r="C18" s="16" t="s">
        <v>59</v>
      </c>
    </row>
    <row r="19" customFormat="false" ht="15" hidden="false" customHeight="false" outlineLevel="0" collapsed="false">
      <c r="B19" s="15"/>
      <c r="C19" s="16"/>
    </row>
    <row r="20" customFormat="false" ht="30" hidden="false" customHeight="true" outlineLevel="0" collapsed="false">
      <c r="B20" s="15"/>
      <c r="C20" s="16" t="s">
        <v>60</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9E9E"/>
    <pageSetUpPr fitToPage="false"/>
  </sheetPr>
  <dimension ref="B2:F6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34"/>
  </cols>
  <sheetData>
    <row r="2" customFormat="false" ht="39.75" hidden="false" customHeight="true" outlineLevel="0" collapsed="false">
      <c r="B2" s="12" t="s">
        <v>61</v>
      </c>
      <c r="C2" s="12"/>
      <c r="D2" s="12"/>
      <c r="E2" s="12"/>
      <c r="F2" s="12"/>
    </row>
    <row r="3" customFormat="false" ht="31.5" hidden="false" customHeight="true" outlineLevel="0" collapsed="false">
      <c r="B3" s="13" t="s">
        <v>62</v>
      </c>
      <c r="C3" s="13"/>
      <c r="D3" s="13"/>
      <c r="E3" s="13"/>
      <c r="F3" s="13"/>
    </row>
    <row r="5" customFormat="false" ht="15" hidden="false" customHeight="false" outlineLevel="0" collapsed="false">
      <c r="B5" s="19" t="s">
        <v>63</v>
      </c>
    </row>
    <row r="6" customFormat="false" ht="30" hidden="false" customHeight="true" outlineLevel="0" collapsed="false">
      <c r="B6" s="20" t="s">
        <v>64</v>
      </c>
      <c r="C6" s="20" t="s">
        <v>65</v>
      </c>
      <c r="E6" s="20" t="s">
        <v>66</v>
      </c>
    </row>
    <row r="7" customFormat="false" ht="15" hidden="false" customHeight="false" outlineLevel="0" collapsed="false">
      <c r="B7" s="21" t="s">
        <v>67</v>
      </c>
      <c r="C7" s="21" t="s">
        <v>68</v>
      </c>
      <c r="E7" s="22" t="n">
        <v>2500</v>
      </c>
    </row>
    <row r="8" customFormat="false" ht="15" hidden="false" customHeight="false" outlineLevel="0" collapsed="false">
      <c r="B8" s="21" t="s">
        <v>69</v>
      </c>
      <c r="C8" s="21" t="s">
        <v>70</v>
      </c>
      <c r="E8" s="23" t="n">
        <f aca="false">'Income Streams'!G23</f>
        <v>60</v>
      </c>
    </row>
    <row r="9" customFormat="false" ht="15" hidden="false" customHeight="false" outlineLevel="0" collapsed="false">
      <c r="B9" s="21" t="s">
        <v>71</v>
      </c>
      <c r="C9" s="21" t="s">
        <v>72</v>
      </c>
      <c r="E9" s="22" t="n">
        <v>0</v>
      </c>
    </row>
    <row r="10" customFormat="false" ht="15" hidden="false" customHeight="false" outlineLevel="0" collapsed="false">
      <c r="B10" s="21"/>
      <c r="C10" s="21"/>
      <c r="E10" s="22"/>
    </row>
    <row r="11" customFormat="false" ht="15" hidden="false" customHeight="false" outlineLevel="0" collapsed="false">
      <c r="B11" s="21"/>
      <c r="C11" s="21"/>
      <c r="E11" s="22"/>
    </row>
    <row r="12" customFormat="false" ht="15" hidden="false" customHeight="false" outlineLevel="0" collapsed="false">
      <c r="B12" s="21"/>
      <c r="C12" s="21"/>
      <c r="E12" s="22"/>
    </row>
    <row r="13" customFormat="false" ht="15" hidden="false" customHeight="false" outlineLevel="0" collapsed="false">
      <c r="B13" s="15" t="s">
        <v>73</v>
      </c>
      <c r="E13" s="24" t="n">
        <f aca="false">SUM(E7:E12)</f>
        <v>2560</v>
      </c>
    </row>
    <row r="15" customFormat="false" ht="15" hidden="false" customHeight="false" outlineLevel="0" collapsed="false">
      <c r="B15" s="19" t="s">
        <v>74</v>
      </c>
    </row>
    <row r="16" customFormat="false" ht="30" hidden="false" customHeight="true" outlineLevel="0" collapsed="false">
      <c r="B16" s="20" t="s">
        <v>75</v>
      </c>
      <c r="C16" s="20" t="s">
        <v>76</v>
      </c>
      <c r="D16" s="20" t="s">
        <v>77</v>
      </c>
      <c r="E16" s="20" t="s">
        <v>66</v>
      </c>
      <c r="F16" s="20" t="s">
        <v>65</v>
      </c>
    </row>
    <row r="17" customFormat="false" ht="15" hidden="false" customHeight="false" outlineLevel="0" collapsed="false">
      <c r="B17" s="21" t="s">
        <v>78</v>
      </c>
      <c r="C17" s="21" t="s">
        <v>79</v>
      </c>
      <c r="D17" s="21" t="s">
        <v>80</v>
      </c>
      <c r="E17" s="22" t="n">
        <v>900</v>
      </c>
      <c r="F17" s="21" t="s">
        <v>81</v>
      </c>
    </row>
    <row r="18" customFormat="false" ht="15" hidden="false" customHeight="false" outlineLevel="0" collapsed="false">
      <c r="B18" s="21" t="s">
        <v>82</v>
      </c>
      <c r="C18" s="21" t="s">
        <v>83</v>
      </c>
      <c r="D18" s="21" t="s">
        <v>80</v>
      </c>
      <c r="E18" s="22" t="n">
        <v>140</v>
      </c>
      <c r="F18" s="21"/>
    </row>
    <row r="19" customFormat="false" ht="15" hidden="false" customHeight="false" outlineLevel="0" collapsed="false">
      <c r="B19" s="21" t="s">
        <v>84</v>
      </c>
      <c r="C19" s="21" t="s">
        <v>84</v>
      </c>
      <c r="D19" s="21" t="s">
        <v>80</v>
      </c>
      <c r="E19" s="22" t="n">
        <v>320</v>
      </c>
      <c r="F19" s="21"/>
    </row>
    <row r="20" customFormat="false" ht="15" hidden="false" customHeight="false" outlineLevel="0" collapsed="false">
      <c r="B20" s="21" t="s">
        <v>85</v>
      </c>
      <c r="C20" s="21" t="s">
        <v>86</v>
      </c>
      <c r="D20" s="21" t="s">
        <v>80</v>
      </c>
      <c r="E20" s="22" t="n">
        <v>90</v>
      </c>
      <c r="F20" s="21"/>
    </row>
    <row r="21" customFormat="false" ht="15" hidden="false" customHeight="false" outlineLevel="0" collapsed="false">
      <c r="B21" s="21" t="s">
        <v>87</v>
      </c>
      <c r="C21" s="21" t="s">
        <v>87</v>
      </c>
      <c r="D21" s="21" t="s">
        <v>80</v>
      </c>
      <c r="E21" s="22" t="n">
        <v>80</v>
      </c>
      <c r="F21" s="21"/>
    </row>
    <row r="22" customFormat="false" ht="15" hidden="false" customHeight="false" outlineLevel="0" collapsed="false">
      <c r="B22" s="21" t="s">
        <v>88</v>
      </c>
      <c r="C22" s="21" t="s">
        <v>89</v>
      </c>
      <c r="D22" s="21" t="s">
        <v>80</v>
      </c>
      <c r="E22" s="22" t="n">
        <v>150</v>
      </c>
      <c r="F22" s="21"/>
    </row>
    <row r="23" customFormat="false" ht="15" hidden="false" customHeight="false" outlineLevel="0" collapsed="false">
      <c r="B23" s="21" t="s">
        <v>90</v>
      </c>
      <c r="C23" s="21" t="s">
        <v>91</v>
      </c>
      <c r="D23" s="21" t="s">
        <v>80</v>
      </c>
      <c r="E23" s="22" t="n">
        <v>60</v>
      </c>
      <c r="F23" s="21"/>
    </row>
    <row r="24" customFormat="false" ht="15" hidden="false" customHeight="false" outlineLevel="0" collapsed="false">
      <c r="B24" s="21" t="s">
        <v>92</v>
      </c>
      <c r="C24" s="21" t="s">
        <v>93</v>
      </c>
      <c r="D24" s="21" t="s">
        <v>94</v>
      </c>
      <c r="E24" s="22" t="n">
        <v>45</v>
      </c>
      <c r="F24" s="21"/>
    </row>
    <row r="25" customFormat="false" ht="15" hidden="false" customHeight="false" outlineLevel="0" collapsed="false">
      <c r="B25" s="21" t="s">
        <v>95</v>
      </c>
      <c r="C25" s="21" t="s">
        <v>96</v>
      </c>
      <c r="D25" s="21" t="s">
        <v>94</v>
      </c>
      <c r="E25" s="22" t="n">
        <v>120</v>
      </c>
      <c r="F25" s="21"/>
    </row>
    <row r="26" customFormat="false" ht="15" hidden="false" customHeight="false" outlineLevel="0" collapsed="false">
      <c r="B26" s="21" t="s">
        <v>97</v>
      </c>
      <c r="C26" s="21" t="s">
        <v>98</v>
      </c>
      <c r="D26" s="21" t="s">
        <v>94</v>
      </c>
      <c r="E26" s="22" t="n">
        <v>100</v>
      </c>
      <c r="F26" s="21"/>
    </row>
    <row r="27" customFormat="false" ht="15" hidden="false" customHeight="false" outlineLevel="0" collapsed="false">
      <c r="B27" s="21"/>
      <c r="C27" s="21"/>
      <c r="D27" s="21"/>
      <c r="E27" s="22"/>
      <c r="F27" s="21"/>
    </row>
    <row r="28" customFormat="false" ht="15" hidden="false" customHeight="false" outlineLevel="0" collapsed="false">
      <c r="B28" s="21"/>
      <c r="C28" s="21"/>
      <c r="D28" s="21"/>
      <c r="E28" s="22"/>
      <c r="F28" s="21"/>
    </row>
    <row r="29" customFormat="false" ht="15" hidden="false" customHeight="false" outlineLevel="0" collapsed="false">
      <c r="B29" s="21"/>
      <c r="C29" s="21"/>
      <c r="D29" s="21"/>
      <c r="E29" s="22"/>
      <c r="F29" s="21"/>
    </row>
    <row r="30" customFormat="false" ht="15" hidden="false" customHeight="false" outlineLevel="0" collapsed="false">
      <c r="B30" s="21"/>
      <c r="C30" s="21"/>
      <c r="D30" s="21"/>
      <c r="E30" s="22"/>
      <c r="F30" s="21"/>
    </row>
    <row r="31" customFormat="false" ht="15" hidden="false" customHeight="false" outlineLevel="0" collapsed="false">
      <c r="B31" s="21"/>
      <c r="C31" s="21"/>
      <c r="D31" s="21"/>
      <c r="E31" s="22"/>
      <c r="F31" s="21"/>
    </row>
    <row r="32" customFormat="false" ht="15" hidden="false" customHeight="false" outlineLevel="0" collapsed="false">
      <c r="B32" s="21"/>
      <c r="C32" s="21"/>
      <c r="D32" s="21"/>
      <c r="E32" s="22"/>
      <c r="F32" s="21"/>
    </row>
    <row r="33" customFormat="false" ht="15" hidden="false" customHeight="false" outlineLevel="0" collapsed="false">
      <c r="B33" s="21"/>
      <c r="C33" s="21"/>
      <c r="D33" s="21"/>
      <c r="E33" s="22"/>
      <c r="F33" s="21"/>
    </row>
    <row r="34" customFormat="false" ht="15" hidden="false" customHeight="false" outlineLevel="0" collapsed="false">
      <c r="B34" s="21"/>
      <c r="C34" s="21"/>
      <c r="D34" s="21"/>
      <c r="E34" s="22"/>
      <c r="F34" s="21"/>
    </row>
    <row r="35" customFormat="false" ht="15" hidden="false" customHeight="false" outlineLevel="0" collapsed="false">
      <c r="B35" s="21"/>
      <c r="C35" s="21"/>
      <c r="D35" s="21"/>
      <c r="E35" s="22"/>
      <c r="F35" s="21"/>
    </row>
    <row r="36" customFormat="false" ht="15" hidden="false" customHeight="false" outlineLevel="0" collapsed="false">
      <c r="B36" s="21"/>
      <c r="C36" s="21"/>
      <c r="D36" s="21"/>
      <c r="E36" s="22"/>
      <c r="F36" s="21"/>
    </row>
    <row r="37" customFormat="false" ht="15" hidden="false" customHeight="false" outlineLevel="0" collapsed="false">
      <c r="B37" s="21"/>
      <c r="C37" s="21"/>
      <c r="D37" s="21"/>
      <c r="E37" s="22"/>
      <c r="F37" s="21"/>
    </row>
    <row r="38" customFormat="false" ht="15" hidden="false" customHeight="false" outlineLevel="0" collapsed="false">
      <c r="B38" s="21"/>
      <c r="C38" s="21"/>
      <c r="D38" s="21"/>
      <c r="E38" s="22"/>
      <c r="F38" s="21"/>
    </row>
    <row r="39" customFormat="false" ht="15" hidden="false" customHeight="false" outlineLevel="0" collapsed="false">
      <c r="B39" s="21"/>
      <c r="C39" s="21"/>
      <c r="D39" s="21"/>
      <c r="E39" s="22"/>
      <c r="F39" s="21"/>
    </row>
    <row r="40" customFormat="false" ht="15" hidden="false" customHeight="false" outlineLevel="0" collapsed="false">
      <c r="B40" s="21"/>
      <c r="C40" s="21"/>
      <c r="D40" s="21"/>
      <c r="E40" s="22"/>
      <c r="F40" s="21"/>
    </row>
    <row r="41" customFormat="false" ht="15" hidden="false" customHeight="false" outlineLevel="0" collapsed="false">
      <c r="B41" s="21"/>
      <c r="C41" s="21"/>
      <c r="D41" s="21"/>
      <c r="E41" s="22"/>
      <c r="F41" s="21"/>
    </row>
    <row r="42" customFormat="false" ht="15" hidden="false" customHeight="false" outlineLevel="0" collapsed="false">
      <c r="B42" s="21"/>
      <c r="C42" s="21"/>
      <c r="D42" s="21"/>
      <c r="E42" s="22"/>
      <c r="F42" s="21"/>
    </row>
    <row r="43" customFormat="false" ht="15" hidden="false" customHeight="false" outlineLevel="0" collapsed="false">
      <c r="B43" s="21"/>
      <c r="C43" s="21"/>
      <c r="D43" s="21"/>
      <c r="E43" s="22"/>
      <c r="F43" s="21"/>
    </row>
    <row r="44" customFormat="false" ht="15" hidden="false" customHeight="false" outlineLevel="0" collapsed="false">
      <c r="B44" s="21"/>
      <c r="C44" s="21"/>
      <c r="D44" s="21"/>
      <c r="E44" s="22"/>
      <c r="F44" s="21"/>
    </row>
    <row r="45" customFormat="false" ht="15" hidden="false" customHeight="false" outlineLevel="0" collapsed="false">
      <c r="B45" s="21"/>
      <c r="C45" s="21"/>
      <c r="D45" s="21"/>
      <c r="E45" s="22"/>
      <c r="F45" s="21"/>
    </row>
    <row r="46" customFormat="false" ht="15" hidden="false" customHeight="false" outlineLevel="0" collapsed="false">
      <c r="B46" s="21"/>
      <c r="C46" s="21"/>
      <c r="D46" s="21"/>
      <c r="E46" s="22"/>
      <c r="F46" s="21"/>
    </row>
    <row r="47" customFormat="false" ht="15" hidden="false" customHeight="false" outlineLevel="0" collapsed="false">
      <c r="B47" s="21"/>
      <c r="C47" s="21"/>
      <c r="D47" s="21"/>
      <c r="E47" s="22"/>
      <c r="F47" s="21"/>
    </row>
    <row r="48" customFormat="false" ht="15" hidden="false" customHeight="false" outlineLevel="0" collapsed="false">
      <c r="B48" s="21"/>
      <c r="C48" s="21"/>
      <c r="D48" s="21"/>
      <c r="E48" s="22"/>
      <c r="F48" s="21"/>
    </row>
    <row r="49" customFormat="false" ht="15" hidden="false" customHeight="false" outlineLevel="0" collapsed="false">
      <c r="B49" s="21"/>
      <c r="C49" s="21"/>
      <c r="D49" s="21"/>
      <c r="E49" s="22"/>
      <c r="F49" s="21"/>
    </row>
    <row r="50" customFormat="false" ht="15" hidden="false" customHeight="false" outlineLevel="0" collapsed="false">
      <c r="B50" s="21"/>
      <c r="C50" s="21"/>
      <c r="D50" s="21"/>
      <c r="E50" s="22"/>
      <c r="F50" s="21"/>
    </row>
    <row r="51" customFormat="false" ht="15" hidden="false" customHeight="false" outlineLevel="0" collapsed="false">
      <c r="B51" s="21"/>
      <c r="C51" s="21"/>
      <c r="D51" s="21"/>
      <c r="E51" s="22"/>
      <c r="F51" s="21"/>
    </row>
    <row r="52" customFormat="false" ht="15" hidden="false" customHeight="false" outlineLevel="0" collapsed="false">
      <c r="B52" s="21"/>
      <c r="C52" s="21"/>
      <c r="D52" s="21"/>
      <c r="E52" s="22"/>
      <c r="F52" s="21"/>
    </row>
    <row r="53" customFormat="false" ht="15" hidden="false" customHeight="false" outlineLevel="0" collapsed="false">
      <c r="B53" s="21"/>
      <c r="C53" s="21"/>
      <c r="D53" s="21"/>
      <c r="E53" s="22"/>
      <c r="F53" s="21"/>
    </row>
    <row r="54" customFormat="false" ht="15" hidden="false" customHeight="false" outlineLevel="0" collapsed="false">
      <c r="B54" s="21"/>
      <c r="C54" s="21"/>
      <c r="D54" s="21"/>
      <c r="E54" s="22"/>
      <c r="F54" s="21"/>
    </row>
    <row r="55" customFormat="false" ht="15" hidden="false" customHeight="false" outlineLevel="0" collapsed="false">
      <c r="B55" s="21"/>
      <c r="C55" s="21"/>
      <c r="D55" s="21"/>
      <c r="E55" s="22"/>
      <c r="F55" s="21"/>
    </row>
    <row r="56" customFormat="false" ht="15" hidden="false" customHeight="false" outlineLevel="0" collapsed="false">
      <c r="B56" s="21"/>
      <c r="C56" s="21"/>
      <c r="D56" s="21"/>
      <c r="E56" s="22"/>
      <c r="F56" s="21"/>
    </row>
    <row r="58" customFormat="false" ht="15" hidden="false" customHeight="false" outlineLevel="0" collapsed="false">
      <c r="B58" s="15" t="s">
        <v>99</v>
      </c>
      <c r="E58" s="24" t="n">
        <f aca="false">SUMIF(D17:D56,"Need",E17:E56)</f>
        <v>1740</v>
      </c>
    </row>
    <row r="59" customFormat="false" ht="15" hidden="false" customHeight="false" outlineLevel="0" collapsed="false">
      <c r="B59" s="15" t="s">
        <v>100</v>
      </c>
      <c r="E59" s="24" t="n">
        <f aca="false">SUMIF(D17:D56,"Want",E17:E56)</f>
        <v>265</v>
      </c>
    </row>
    <row r="60" customFormat="false" ht="15" hidden="false" customHeight="false" outlineLevel="0" collapsed="false">
      <c r="B60" s="25" t="s">
        <v>101</v>
      </c>
      <c r="E60" s="26" t="n">
        <f aca="false">SUMIF(C17:C56,"Caregiving",E17:E56)</f>
        <v>150</v>
      </c>
    </row>
    <row r="61" customFormat="false" ht="15" hidden="false" customHeight="false" outlineLevel="0" collapsed="false">
      <c r="B61" s="27" t="s">
        <v>102</v>
      </c>
      <c r="E61" s="28" t="n">
        <f aca="false">SUM(E17:E56)-E58-E59</f>
        <v>0</v>
      </c>
    </row>
    <row r="62" customFormat="false" ht="15" hidden="false" customHeight="false" outlineLevel="0" collapsed="false">
      <c r="B62" s="29" t="s">
        <v>103</v>
      </c>
      <c r="E62" s="30" t="n">
        <f aca="false">E13-E58-E59</f>
        <v>555</v>
      </c>
    </row>
    <row r="63" customFormat="false" ht="15" hidden="false" customHeight="false" outlineLevel="0" collapsed="false">
      <c r="B63" s="29" t="s">
        <v>104</v>
      </c>
      <c r="E63" s="31" t="n">
        <f aca="false">IF(E13&gt;0,E62/E13,0)</f>
        <v>0.216796875</v>
      </c>
    </row>
  </sheetData>
  <mergeCells count="2">
    <mergeCell ref="B2:F2"/>
    <mergeCell ref="B3:F3"/>
  </mergeCells>
  <dataValidations count="2">
    <dataValidation allowBlank="true" errorStyle="stop" operator="between" showDropDown="false" showErrorMessage="false" showInputMessage="false" sqref="C17:C56" type="list">
      <formula1>Lists!$A$1:$A$16</formula1>
      <formula2>0</formula2>
    </dataValidation>
    <dataValidation allowBlank="true" errorStyle="stop" operator="between" showDropDown="false" showErrorMessage="false" showInputMessage="false" sqref="D17:D56" type="list">
      <formula1>Lists!$B$1:$B$2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9E9E"/>
    <pageSetUpPr fitToPage="false"/>
  </sheetPr>
  <dimension ref="B2:G3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6" min="5" style="0" width="14"/>
    <col collapsed="false" customWidth="true" hidden="false" outlineLevel="0" max="7" min="7" style="0" width="30"/>
  </cols>
  <sheetData>
    <row r="2" customFormat="false" ht="39.75" hidden="false" customHeight="true" outlineLevel="0" collapsed="false">
      <c r="B2" s="12" t="s">
        <v>105</v>
      </c>
      <c r="C2" s="12"/>
      <c r="D2" s="12"/>
      <c r="E2" s="12"/>
      <c r="F2" s="12"/>
      <c r="G2" s="12"/>
    </row>
    <row r="3" customFormat="false" ht="31.5" hidden="false" customHeight="true" outlineLevel="0" collapsed="false">
      <c r="B3" s="13" t="s">
        <v>106</v>
      </c>
      <c r="C3" s="13"/>
      <c r="D3" s="13"/>
      <c r="E3" s="13"/>
      <c r="F3" s="13"/>
      <c r="G3" s="13"/>
    </row>
    <row r="5" customFormat="false" ht="30" hidden="false" customHeight="true" outlineLevel="0" collapsed="false">
      <c r="B5" s="20" t="s">
        <v>107</v>
      </c>
      <c r="C5" s="20" t="s">
        <v>108</v>
      </c>
      <c r="D5" s="20" t="s">
        <v>109</v>
      </c>
      <c r="E5" s="20" t="s">
        <v>110</v>
      </c>
      <c r="F5" s="20" t="s">
        <v>111</v>
      </c>
      <c r="G5" s="20" t="s">
        <v>112</v>
      </c>
    </row>
    <row r="6" customFormat="false" ht="15" hidden="false" customHeight="false" outlineLevel="0" collapsed="false">
      <c r="B6" s="21" t="s">
        <v>113</v>
      </c>
      <c r="C6" s="22" t="n">
        <v>13</v>
      </c>
      <c r="D6" s="21" t="s">
        <v>114</v>
      </c>
      <c r="E6" s="22" t="n">
        <v>0</v>
      </c>
      <c r="F6" s="32" t="n">
        <f aca="false">IF(OR(C6="",D6="",D6="Keep"),0,MAX(0,C6-N(E6)))</f>
        <v>13</v>
      </c>
      <c r="G6" s="21" t="s">
        <v>115</v>
      </c>
    </row>
    <row r="7" customFormat="false" ht="15" hidden="false" customHeight="false" outlineLevel="0" collapsed="false">
      <c r="B7" s="21" t="s">
        <v>116</v>
      </c>
      <c r="C7" s="22" t="n">
        <v>35</v>
      </c>
      <c r="D7" s="21" t="s">
        <v>117</v>
      </c>
      <c r="E7" s="22" t="n">
        <v>15</v>
      </c>
      <c r="F7" s="32" t="n">
        <f aca="false">IF(OR(C7="",D7="",D7="Keep"),0,MAX(0,C7-N(E7)))</f>
        <v>20</v>
      </c>
      <c r="G7" s="21" t="s">
        <v>118</v>
      </c>
    </row>
    <row r="8" customFormat="false" ht="15" hidden="false" customHeight="false" outlineLevel="0" collapsed="false">
      <c r="B8" s="21" t="s">
        <v>119</v>
      </c>
      <c r="C8" s="22" t="n">
        <v>40</v>
      </c>
      <c r="D8" s="21" t="s">
        <v>120</v>
      </c>
      <c r="E8" s="22" t="n">
        <v>25</v>
      </c>
      <c r="F8" s="32" t="n">
        <f aca="false">IF(OR(C8="",D8="",D8="Keep"),0,MAX(0,C8-N(E8)))</f>
        <v>15</v>
      </c>
      <c r="G8" s="21" t="s">
        <v>121</v>
      </c>
    </row>
    <row r="9" customFormat="false" ht="15" hidden="false" customHeight="false" outlineLevel="0" collapsed="false">
      <c r="B9" s="21" t="s">
        <v>122</v>
      </c>
      <c r="C9" s="22" t="n">
        <v>3</v>
      </c>
      <c r="D9" s="21" t="s">
        <v>123</v>
      </c>
      <c r="E9" s="22" t="n">
        <v>3</v>
      </c>
      <c r="F9" s="32" t="n">
        <f aca="false">IF(OR(C9="",D9="",D9="Keep"),0,MAX(0,C9-N(E9)))</f>
        <v>0</v>
      </c>
      <c r="G9" s="21"/>
    </row>
    <row r="10" customFormat="false" ht="15" hidden="false" customHeight="false" outlineLevel="0" collapsed="false">
      <c r="B10" s="21"/>
      <c r="C10" s="22"/>
      <c r="D10" s="21"/>
      <c r="E10" s="22"/>
      <c r="F10" s="32" t="n">
        <f aca="false">IF(OR(C10="",D10="",D10="Keep"),0,MAX(0,C10-N(E10)))</f>
        <v>0</v>
      </c>
      <c r="G10" s="21"/>
    </row>
    <row r="11" customFormat="false" ht="15" hidden="false" customHeight="false" outlineLevel="0" collapsed="false">
      <c r="B11" s="21"/>
      <c r="C11" s="22"/>
      <c r="D11" s="21"/>
      <c r="E11" s="22"/>
      <c r="F11" s="32" t="n">
        <f aca="false">IF(OR(C11="",D11="",D11="Keep"),0,MAX(0,C11-N(E11)))</f>
        <v>0</v>
      </c>
      <c r="G11" s="21"/>
    </row>
    <row r="12" customFormat="false" ht="15" hidden="false" customHeight="false" outlineLevel="0" collapsed="false">
      <c r="B12" s="21"/>
      <c r="C12" s="22"/>
      <c r="D12" s="21"/>
      <c r="E12" s="22"/>
      <c r="F12" s="32" t="n">
        <f aca="false">IF(OR(C12="",D12="",D12="Keep"),0,MAX(0,C12-N(E12)))</f>
        <v>0</v>
      </c>
      <c r="G12" s="21"/>
    </row>
    <row r="13" customFormat="false" ht="15" hidden="false" customHeight="false" outlineLevel="0" collapsed="false">
      <c r="B13" s="21"/>
      <c r="C13" s="22"/>
      <c r="D13" s="21"/>
      <c r="E13" s="22"/>
      <c r="F13" s="32" t="n">
        <f aca="false">IF(OR(C13="",D13="",D13="Keep"),0,MAX(0,C13-N(E13)))</f>
        <v>0</v>
      </c>
      <c r="G13" s="21"/>
    </row>
    <row r="14" customFormat="false" ht="15" hidden="false" customHeight="false" outlineLevel="0" collapsed="false">
      <c r="B14" s="21"/>
      <c r="C14" s="22"/>
      <c r="D14" s="21"/>
      <c r="E14" s="22"/>
      <c r="F14" s="32" t="n">
        <f aca="false">IF(OR(C14="",D14="",D14="Keep"),0,MAX(0,C14-N(E14)))</f>
        <v>0</v>
      </c>
      <c r="G14" s="21"/>
    </row>
    <row r="15" customFormat="false" ht="15" hidden="false" customHeight="false" outlineLevel="0" collapsed="false">
      <c r="B15" s="21"/>
      <c r="C15" s="22"/>
      <c r="D15" s="21"/>
      <c r="E15" s="22"/>
      <c r="F15" s="32" t="n">
        <f aca="false">IF(OR(C15="",D15="",D15="Keep"),0,MAX(0,C15-N(E15)))</f>
        <v>0</v>
      </c>
      <c r="G15" s="21"/>
    </row>
    <row r="16" customFormat="false" ht="15" hidden="false" customHeight="false" outlineLevel="0" collapsed="false">
      <c r="B16" s="21"/>
      <c r="C16" s="22"/>
      <c r="D16" s="21"/>
      <c r="E16" s="22"/>
      <c r="F16" s="32" t="n">
        <f aca="false">IF(OR(C16="",D16="",D16="Keep"),0,MAX(0,C16-N(E16)))</f>
        <v>0</v>
      </c>
      <c r="G16" s="21"/>
    </row>
    <row r="17" customFormat="false" ht="15" hidden="false" customHeight="false" outlineLevel="0" collapsed="false">
      <c r="B17" s="21"/>
      <c r="C17" s="22"/>
      <c r="D17" s="21"/>
      <c r="E17" s="22"/>
      <c r="F17" s="32" t="n">
        <f aca="false">IF(OR(C17="",D17="",D17="Keep"),0,MAX(0,C17-N(E17)))</f>
        <v>0</v>
      </c>
      <c r="G17" s="21"/>
    </row>
    <row r="18" customFormat="false" ht="15" hidden="false" customHeight="false" outlineLevel="0" collapsed="false">
      <c r="B18" s="21"/>
      <c r="C18" s="22"/>
      <c r="D18" s="21"/>
      <c r="E18" s="22"/>
      <c r="F18" s="32" t="n">
        <f aca="false">IF(OR(C18="",D18="",D18="Keep"),0,MAX(0,C18-N(E18)))</f>
        <v>0</v>
      </c>
      <c r="G18" s="21"/>
    </row>
    <row r="19" customFormat="false" ht="15" hidden="false" customHeight="false" outlineLevel="0" collapsed="false">
      <c r="B19" s="21"/>
      <c r="C19" s="22"/>
      <c r="D19" s="21"/>
      <c r="E19" s="22"/>
      <c r="F19" s="32" t="n">
        <f aca="false">IF(OR(C19="",D19="",D19="Keep"),0,MAX(0,C19-N(E19)))</f>
        <v>0</v>
      </c>
      <c r="G19" s="21"/>
    </row>
    <row r="20" customFormat="false" ht="15" hidden="false" customHeight="false" outlineLevel="0" collapsed="false">
      <c r="B20" s="21"/>
      <c r="C20" s="22"/>
      <c r="D20" s="21"/>
      <c r="E20" s="22"/>
      <c r="F20" s="32" t="n">
        <f aca="false">IF(OR(C20="",D20="",D20="Keep"),0,MAX(0,C20-N(E20)))</f>
        <v>0</v>
      </c>
      <c r="G20" s="21"/>
    </row>
    <row r="21" customFormat="false" ht="15" hidden="false" customHeight="false" outlineLevel="0" collapsed="false">
      <c r="B21" s="21"/>
      <c r="C21" s="22"/>
      <c r="D21" s="21"/>
      <c r="E21" s="22"/>
      <c r="F21" s="32" t="n">
        <f aca="false">IF(OR(C21="",D21="",D21="Keep"),0,MAX(0,C21-N(E21)))</f>
        <v>0</v>
      </c>
      <c r="G21" s="21"/>
    </row>
    <row r="22" customFormat="false" ht="15" hidden="false" customHeight="false" outlineLevel="0" collapsed="false">
      <c r="B22" s="21"/>
      <c r="C22" s="22"/>
      <c r="D22" s="21"/>
      <c r="E22" s="22"/>
      <c r="F22" s="32" t="n">
        <f aca="false">IF(OR(C22="",D22="",D22="Keep"),0,MAX(0,C22-N(E22)))</f>
        <v>0</v>
      </c>
      <c r="G22" s="21"/>
    </row>
    <row r="23" customFormat="false" ht="15" hidden="false" customHeight="false" outlineLevel="0" collapsed="false">
      <c r="B23" s="21"/>
      <c r="C23" s="22"/>
      <c r="D23" s="21"/>
      <c r="E23" s="22"/>
      <c r="F23" s="32" t="n">
        <f aca="false">IF(OR(C23="",D23="",D23="Keep"),0,MAX(0,C23-N(E23)))</f>
        <v>0</v>
      </c>
      <c r="G23" s="21"/>
    </row>
    <row r="24" customFormat="false" ht="15" hidden="false" customHeight="false" outlineLevel="0" collapsed="false">
      <c r="B24" s="21"/>
      <c r="C24" s="22"/>
      <c r="D24" s="21"/>
      <c r="E24" s="22"/>
      <c r="F24" s="32" t="n">
        <f aca="false">IF(OR(C24="",D24="",D24="Keep"),0,MAX(0,C24-N(E24)))</f>
        <v>0</v>
      </c>
      <c r="G24" s="21"/>
    </row>
    <row r="25" customFormat="false" ht="15" hidden="false" customHeight="false" outlineLevel="0" collapsed="false">
      <c r="B25" s="21"/>
      <c r="C25" s="22"/>
      <c r="D25" s="21"/>
      <c r="E25" s="22"/>
      <c r="F25" s="32" t="n">
        <f aca="false">IF(OR(C25="",D25="",D25="Keep"),0,MAX(0,C25-N(E25)))</f>
        <v>0</v>
      </c>
      <c r="G25" s="21"/>
    </row>
    <row r="26" customFormat="false" ht="15" hidden="false" customHeight="false" outlineLevel="0" collapsed="false">
      <c r="B26" s="21"/>
      <c r="C26" s="22"/>
      <c r="D26" s="21"/>
      <c r="E26" s="22"/>
      <c r="F26" s="32" t="n">
        <f aca="false">IF(OR(C26="",D26="",D26="Keep"),0,MAX(0,C26-N(E26)))</f>
        <v>0</v>
      </c>
      <c r="G26" s="21"/>
    </row>
    <row r="27" customFormat="false" ht="15" hidden="false" customHeight="false" outlineLevel="0" collapsed="false">
      <c r="B27" s="21"/>
      <c r="C27" s="22"/>
      <c r="D27" s="21"/>
      <c r="E27" s="22"/>
      <c r="F27" s="32" t="n">
        <f aca="false">IF(OR(C27="",D27="",D27="Keep"),0,MAX(0,C27-N(E27)))</f>
        <v>0</v>
      </c>
      <c r="G27" s="21"/>
    </row>
    <row r="28" customFormat="false" ht="15" hidden="false" customHeight="false" outlineLevel="0" collapsed="false">
      <c r="B28" s="21"/>
      <c r="C28" s="22"/>
      <c r="D28" s="21"/>
      <c r="E28" s="22"/>
      <c r="F28" s="32" t="n">
        <f aca="false">IF(OR(C28="",D28="",D28="Keep"),0,MAX(0,C28-N(E28)))</f>
        <v>0</v>
      </c>
      <c r="G28" s="21"/>
    </row>
    <row r="29" customFormat="false" ht="15" hidden="false" customHeight="false" outlineLevel="0" collapsed="false">
      <c r="B29" s="21"/>
      <c r="C29" s="22"/>
      <c r="D29" s="21"/>
      <c r="E29" s="22"/>
      <c r="F29" s="32" t="n">
        <f aca="false">IF(OR(C29="",D29="",D29="Keep"),0,MAX(0,C29-N(E29)))</f>
        <v>0</v>
      </c>
      <c r="G29" s="21"/>
    </row>
    <row r="30" customFormat="false" ht="15" hidden="false" customHeight="false" outlineLevel="0" collapsed="false">
      <c r="B30" s="21"/>
      <c r="C30" s="22"/>
      <c r="D30" s="21"/>
      <c r="E30" s="22"/>
      <c r="F30" s="32" t="n">
        <f aca="false">IF(OR(C30="",D30="",D30="Keep"),0,MAX(0,C30-N(E30)))</f>
        <v>0</v>
      </c>
      <c r="G30" s="21"/>
    </row>
    <row r="32" customFormat="false" ht="15" hidden="false" customHeight="false" outlineLevel="0" collapsed="false">
      <c r="B32" s="15" t="s">
        <v>124</v>
      </c>
      <c r="F32" s="30" t="n">
        <f aca="false">SUM(F6:F30)</f>
        <v>48</v>
      </c>
    </row>
    <row r="33" customFormat="false" ht="15" hidden="false" customHeight="false" outlineLevel="0" collapsed="false">
      <c r="B33" s="15" t="s">
        <v>125</v>
      </c>
      <c r="F33" s="30" t="n">
        <f aca="false">F32*12</f>
        <v>576</v>
      </c>
    </row>
    <row r="35" customFormat="false" ht="30" hidden="false" customHeight="true" outlineLevel="0" collapsed="false">
      <c r="B35" s="33" t="s">
        <v>126</v>
      </c>
      <c r="C35" s="33"/>
      <c r="D35" s="33"/>
      <c r="E35" s="33"/>
      <c r="F35" s="33"/>
      <c r="G35" s="33"/>
    </row>
  </sheetData>
  <mergeCells count="3">
    <mergeCell ref="B2:G2"/>
    <mergeCell ref="B3:G3"/>
    <mergeCell ref="B35:G35"/>
  </mergeCells>
  <dataValidations count="1">
    <dataValidation allowBlank="true" errorStyle="stop" operator="between" showDropDown="false" showErrorMessage="false" showInputMessage="false" sqref="D6:D30" type="list">
      <formula1>Lists!$C$1:$C$4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9E9E"/>
    <pageSetUpPr fitToPage="false"/>
  </sheetPr>
  <dimension ref="B2:I3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3"/>
    <col collapsed="false" customWidth="true" hidden="false" outlineLevel="0" max="7" min="7" style="0" width="15"/>
    <col collapsed="false" customWidth="true" hidden="false" outlineLevel="0" max="8" min="8" style="0" width="14"/>
    <col collapsed="false" customWidth="true" hidden="false" outlineLevel="0" max="9" min="9" style="0" width="12"/>
  </cols>
  <sheetData>
    <row r="2" customFormat="false" ht="39.75" hidden="false" customHeight="true" outlineLevel="0" collapsed="false">
      <c r="B2" s="12" t="s">
        <v>127</v>
      </c>
      <c r="C2" s="12"/>
      <c r="D2" s="12"/>
      <c r="E2" s="12"/>
      <c r="F2" s="12"/>
      <c r="G2" s="12"/>
      <c r="H2" s="12"/>
      <c r="I2" s="12"/>
    </row>
    <row r="3" customFormat="false" ht="31.5" hidden="false" customHeight="true" outlineLevel="0" collapsed="false">
      <c r="B3" s="13" t="s">
        <v>128</v>
      </c>
      <c r="C3" s="13"/>
      <c r="D3" s="13"/>
      <c r="E3" s="13"/>
      <c r="F3" s="13"/>
      <c r="G3" s="13"/>
      <c r="H3" s="13"/>
      <c r="I3" s="13"/>
    </row>
    <row r="5" customFormat="false" ht="30" hidden="false" customHeight="true" outlineLevel="0" collapsed="false">
      <c r="B5" s="20" t="s">
        <v>129</v>
      </c>
      <c r="C5" s="20" t="s">
        <v>130</v>
      </c>
      <c r="D5" s="20" t="s">
        <v>131</v>
      </c>
      <c r="E5" s="20" t="s">
        <v>132</v>
      </c>
      <c r="F5" s="20" t="s">
        <v>133</v>
      </c>
      <c r="G5" s="20" t="s">
        <v>134</v>
      </c>
      <c r="H5" s="20" t="s">
        <v>135</v>
      </c>
      <c r="I5" s="20" t="s">
        <v>136</v>
      </c>
    </row>
    <row r="6" customFormat="false" ht="15" hidden="false" customHeight="false" outlineLevel="0" collapsed="false">
      <c r="B6" s="21" t="s">
        <v>137</v>
      </c>
      <c r="C6" s="22" t="n">
        <v>1500</v>
      </c>
      <c r="D6" s="34" t="n">
        <v>0.199</v>
      </c>
      <c r="E6" s="22" t="n">
        <v>60</v>
      </c>
      <c r="F6" s="22" t="n">
        <v>40</v>
      </c>
      <c r="G6" s="35" t="n">
        <f aca="false">IF(N(C6)&gt;0,C6*N(D6)/12,0)</f>
        <v>24.875</v>
      </c>
      <c r="H6" s="36" t="n">
        <f aca="false">IF(N(C6)&lt;=0,"",IF(N(E6)+N(F6)&lt;=G6,"Payment too low",ROUNDUP(IF(N(D6)=0,C6/(N(E6)+N(F6)),NPER(D6/12,-(N(E6)+N(F6)),C6)),0)))</f>
        <v>18</v>
      </c>
      <c r="I6" s="37" t="n">
        <f aca="false">IF(N(C6)&lt;=0,"",COUNTIFS($C$6:$C$15,"&gt;0",$D$6:$D$15,"&gt;"&amp;N(D6))+1)</f>
        <v>1</v>
      </c>
    </row>
    <row r="7" customFormat="false" ht="15" hidden="false" customHeight="false" outlineLevel="0" collapsed="false">
      <c r="B7" s="21" t="s">
        <v>138</v>
      </c>
      <c r="C7" s="22" t="n">
        <v>0</v>
      </c>
      <c r="D7" s="34" t="n">
        <v>0.12</v>
      </c>
      <c r="E7" s="22" t="n">
        <v>0</v>
      </c>
      <c r="F7" s="22" t="n">
        <v>0</v>
      </c>
      <c r="G7" s="35" t="n">
        <f aca="false">IF(N(C7)&gt;0,C7*N(D7)/12,0)</f>
        <v>0</v>
      </c>
      <c r="H7" s="36" t="str">
        <f aca="false">IF(N(C7)&lt;=0,"",IF(N(E7)+N(F7)&lt;=G7,"Payment too low",ROUNDUP(IF(N(D7)=0,C7/(N(E7)+N(F7)),NPER(D7/12,-(N(E7)+N(F7)),C7)),0)))</f>
        <v/>
      </c>
      <c r="I7" s="37" t="str">
        <f aca="false">IF(N(C7)&lt;=0,"",COUNTIFS($C$6:$C$15,"&gt;0",$D$6:$D$15,"&gt;"&amp;N(D7))+1)</f>
        <v/>
      </c>
    </row>
    <row r="8" customFormat="false" ht="15" hidden="false" customHeight="false" outlineLevel="0" collapsed="false">
      <c r="B8" s="21"/>
      <c r="C8" s="22"/>
      <c r="D8" s="34"/>
      <c r="E8" s="22"/>
      <c r="F8" s="22"/>
      <c r="G8" s="35" t="n">
        <f aca="false">IF(N(C8)&gt;0,C8*N(D8)/12,0)</f>
        <v>0</v>
      </c>
      <c r="H8" s="36" t="str">
        <f aca="false">IF(N(C8)&lt;=0,"",IF(N(E8)+N(F8)&lt;=G8,"Payment too low",ROUNDUP(IF(N(D8)=0,C8/(N(E8)+N(F8)),NPER(D8/12,-(N(E8)+N(F8)),C8)),0)))</f>
        <v/>
      </c>
      <c r="I8" s="37" t="str">
        <f aca="false">IF(N(C8)&lt;=0,"",COUNTIFS($C$6:$C$15,"&gt;0",$D$6:$D$15,"&gt;"&amp;N(D8))+1)</f>
        <v/>
      </c>
    </row>
    <row r="9" customFormat="false" ht="15" hidden="false" customHeight="false" outlineLevel="0" collapsed="false">
      <c r="B9" s="21"/>
      <c r="C9" s="22"/>
      <c r="D9" s="34"/>
      <c r="E9" s="22"/>
      <c r="F9" s="22"/>
      <c r="G9" s="35" t="n">
        <f aca="false">IF(N(C9)&gt;0,C9*N(D9)/12,0)</f>
        <v>0</v>
      </c>
      <c r="H9" s="36" t="str">
        <f aca="false">IF(N(C9)&lt;=0,"",IF(N(E9)+N(F9)&lt;=G9,"Payment too low",ROUNDUP(IF(N(D9)=0,C9/(N(E9)+N(F9)),NPER(D9/12,-(N(E9)+N(F9)),C9)),0)))</f>
        <v/>
      </c>
      <c r="I9" s="37" t="str">
        <f aca="false">IF(N(C9)&lt;=0,"",COUNTIFS($C$6:$C$15,"&gt;0",$D$6:$D$15,"&gt;"&amp;N(D9))+1)</f>
        <v/>
      </c>
    </row>
    <row r="10" customFormat="false" ht="15" hidden="false" customHeight="false" outlineLevel="0" collapsed="false">
      <c r="B10" s="21"/>
      <c r="C10" s="22"/>
      <c r="D10" s="34"/>
      <c r="E10" s="22"/>
      <c r="F10" s="22"/>
      <c r="G10" s="35" t="n">
        <f aca="false">IF(N(C10)&gt;0,C10*N(D10)/12,0)</f>
        <v>0</v>
      </c>
      <c r="H10" s="36" t="str">
        <f aca="false">IF(N(C10)&lt;=0,"",IF(N(E10)+N(F10)&lt;=G10,"Payment too low",ROUNDUP(IF(N(D10)=0,C10/(N(E10)+N(F10)),NPER(D10/12,-(N(E10)+N(F10)),C10)),0)))</f>
        <v/>
      </c>
      <c r="I10" s="37" t="str">
        <f aca="false">IF(N(C10)&lt;=0,"",COUNTIFS($C$6:$C$15,"&gt;0",$D$6:$D$15,"&gt;"&amp;N(D10))+1)</f>
        <v/>
      </c>
    </row>
    <row r="11" customFormat="false" ht="15" hidden="false" customHeight="false" outlineLevel="0" collapsed="false">
      <c r="B11" s="21"/>
      <c r="C11" s="22"/>
      <c r="D11" s="34"/>
      <c r="E11" s="22"/>
      <c r="F11" s="22"/>
      <c r="G11" s="35" t="n">
        <f aca="false">IF(N(C11)&gt;0,C11*N(D11)/12,0)</f>
        <v>0</v>
      </c>
      <c r="H11" s="36" t="str">
        <f aca="false">IF(N(C11)&lt;=0,"",IF(N(E11)+N(F11)&lt;=G11,"Payment too low",ROUNDUP(IF(N(D11)=0,C11/(N(E11)+N(F11)),NPER(D11/12,-(N(E11)+N(F11)),C11)),0)))</f>
        <v/>
      </c>
      <c r="I11" s="37" t="str">
        <f aca="false">IF(N(C11)&lt;=0,"",COUNTIFS($C$6:$C$15,"&gt;0",$D$6:$D$15,"&gt;"&amp;N(D11))+1)</f>
        <v/>
      </c>
    </row>
    <row r="12" customFormat="false" ht="15" hidden="false" customHeight="false" outlineLevel="0" collapsed="false">
      <c r="B12" s="21"/>
      <c r="C12" s="22"/>
      <c r="D12" s="34"/>
      <c r="E12" s="22"/>
      <c r="F12" s="22"/>
      <c r="G12" s="35" t="n">
        <f aca="false">IF(N(C12)&gt;0,C12*N(D12)/12,0)</f>
        <v>0</v>
      </c>
      <c r="H12" s="36" t="str">
        <f aca="false">IF(N(C12)&lt;=0,"",IF(N(E12)+N(F12)&lt;=G12,"Payment too low",ROUNDUP(IF(N(D12)=0,C12/(N(E12)+N(F12)),NPER(D12/12,-(N(E12)+N(F12)),C12)),0)))</f>
        <v/>
      </c>
      <c r="I12" s="37" t="str">
        <f aca="false">IF(N(C12)&lt;=0,"",COUNTIFS($C$6:$C$15,"&gt;0",$D$6:$D$15,"&gt;"&amp;N(D12))+1)</f>
        <v/>
      </c>
    </row>
    <row r="13" customFormat="false" ht="15" hidden="false" customHeight="false" outlineLevel="0" collapsed="false">
      <c r="B13" s="21"/>
      <c r="C13" s="22"/>
      <c r="D13" s="34"/>
      <c r="E13" s="22"/>
      <c r="F13" s="22"/>
      <c r="G13" s="35" t="n">
        <f aca="false">IF(N(C13)&gt;0,C13*N(D13)/12,0)</f>
        <v>0</v>
      </c>
      <c r="H13" s="36" t="str">
        <f aca="false">IF(N(C13)&lt;=0,"",IF(N(E13)+N(F13)&lt;=G13,"Payment too low",ROUNDUP(IF(N(D13)=0,C13/(N(E13)+N(F13)),NPER(D13/12,-(N(E13)+N(F13)),C13)),0)))</f>
        <v/>
      </c>
      <c r="I13" s="37" t="str">
        <f aca="false">IF(N(C13)&lt;=0,"",COUNTIFS($C$6:$C$15,"&gt;0",$D$6:$D$15,"&gt;"&amp;N(D13))+1)</f>
        <v/>
      </c>
    </row>
    <row r="14" customFormat="false" ht="15" hidden="false" customHeight="false" outlineLevel="0" collapsed="false">
      <c r="B14" s="21"/>
      <c r="C14" s="22"/>
      <c r="D14" s="34"/>
      <c r="E14" s="22"/>
      <c r="F14" s="22"/>
      <c r="G14" s="35" t="n">
        <f aca="false">IF(N(C14)&gt;0,C14*N(D14)/12,0)</f>
        <v>0</v>
      </c>
      <c r="H14" s="36" t="str">
        <f aca="false">IF(N(C14)&lt;=0,"",IF(N(E14)+N(F14)&lt;=G14,"Payment too low",ROUNDUP(IF(N(D14)=0,C14/(N(E14)+N(F14)),NPER(D14/12,-(N(E14)+N(F14)),C14)),0)))</f>
        <v/>
      </c>
      <c r="I14" s="37" t="str">
        <f aca="false">IF(N(C14)&lt;=0,"",COUNTIFS($C$6:$C$15,"&gt;0",$D$6:$D$15,"&gt;"&amp;N(D14))+1)</f>
        <v/>
      </c>
    </row>
    <row r="15" customFormat="false" ht="15" hidden="false" customHeight="false" outlineLevel="0" collapsed="false">
      <c r="B15" s="21"/>
      <c r="C15" s="22"/>
      <c r="D15" s="34"/>
      <c r="E15" s="22"/>
      <c r="F15" s="22"/>
      <c r="G15" s="35" t="n">
        <f aca="false">IF(N(C15)&gt;0,C15*N(D15)/12,0)</f>
        <v>0</v>
      </c>
      <c r="H15" s="36" t="str">
        <f aca="false">IF(N(C15)&lt;=0,"",IF(N(E15)+N(F15)&lt;=G15,"Payment too low",ROUNDUP(IF(N(D15)=0,C15/(N(E15)+N(F15)),NPER(D15/12,-(N(E15)+N(F15)),C15)),0)))</f>
        <v/>
      </c>
      <c r="I15" s="37" t="str">
        <f aca="false">IF(N(C15)&lt;=0,"",COUNTIFS($C$6:$C$15,"&gt;0",$D$6:$D$15,"&gt;"&amp;N(D15))+1)</f>
        <v/>
      </c>
    </row>
    <row r="17" customFormat="false" ht="15" hidden="false" customHeight="true" outlineLevel="0" collapsed="false">
      <c r="B17" s="15" t="s">
        <v>139</v>
      </c>
      <c r="C17" s="38" t="n">
        <f aca="false">SUM(C6:C15)</f>
        <v>1500</v>
      </c>
      <c r="D17" s="33" t="s">
        <v>140</v>
      </c>
      <c r="E17" s="33"/>
      <c r="F17" s="33"/>
      <c r="G17" s="33"/>
      <c r="H17" s="33"/>
      <c r="I17" s="33"/>
    </row>
    <row r="18" customFormat="false" ht="15" hidden="false" customHeight="false" outlineLevel="0" collapsed="false">
      <c r="B18" s="15" t="s">
        <v>141</v>
      </c>
      <c r="C18" s="39" t="n">
        <f aca="false">SUM(G6:G15)</f>
        <v>24.875</v>
      </c>
      <c r="D18" s="33"/>
      <c r="E18" s="33"/>
      <c r="F18" s="33"/>
      <c r="G18" s="33"/>
      <c r="H18" s="33"/>
      <c r="I18" s="33"/>
    </row>
    <row r="19" customFormat="false" ht="15" hidden="false" customHeight="false" outlineLevel="0" collapsed="false">
      <c r="B19" s="15" t="s">
        <v>142</v>
      </c>
      <c r="C19" s="38" t="n">
        <f aca="false">C18*12</f>
        <v>298.5</v>
      </c>
      <c r="D19" s="33"/>
      <c r="E19" s="33"/>
      <c r="F19" s="33"/>
      <c r="G19" s="33"/>
      <c r="H19" s="33"/>
      <c r="I19" s="33"/>
    </row>
    <row r="22" customFormat="false" ht="15" hidden="false" customHeight="false" outlineLevel="0" collapsed="false">
      <c r="B22" s="19" t="s">
        <v>143</v>
      </c>
    </row>
    <row r="23" customFormat="false" ht="30" hidden="false" customHeight="true" outlineLevel="0" collapsed="false">
      <c r="B23" s="20" t="s">
        <v>144</v>
      </c>
      <c r="C23" s="20" t="s">
        <v>145</v>
      </c>
    </row>
    <row r="24" customFormat="false" ht="15" hidden="false" customHeight="true" outlineLevel="0" collapsed="false">
      <c r="B24" s="16" t="s">
        <v>146</v>
      </c>
      <c r="C24" s="40" t="n">
        <f aca="false">'T · Track'!E7</f>
        <v>2500</v>
      </c>
      <c r="D24" s="33" t="s">
        <v>147</v>
      </c>
      <c r="E24" s="33"/>
      <c r="F24" s="33"/>
      <c r="G24" s="33"/>
      <c r="H24" s="33"/>
      <c r="I24" s="33"/>
    </row>
    <row r="25" customFormat="false" ht="15" hidden="false" customHeight="false" outlineLevel="0" collapsed="false">
      <c r="B25" s="16" t="s">
        <v>148</v>
      </c>
      <c r="C25" s="41" t="n">
        <v>39</v>
      </c>
      <c r="D25" s="33"/>
      <c r="E25" s="33"/>
      <c r="F25" s="33"/>
      <c r="G25" s="33"/>
      <c r="H25" s="33"/>
      <c r="I25" s="33"/>
    </row>
    <row r="26" customFormat="false" ht="15" hidden="false" customHeight="false" outlineLevel="0" collapsed="false">
      <c r="B26" s="16" t="s">
        <v>149</v>
      </c>
      <c r="C26" s="41" t="n">
        <v>4</v>
      </c>
      <c r="D26" s="33"/>
      <c r="E26" s="33"/>
      <c r="F26" s="33"/>
      <c r="G26" s="33"/>
      <c r="H26" s="33"/>
      <c r="I26" s="33"/>
    </row>
    <row r="27" customFormat="false" ht="15" hidden="false" customHeight="false" outlineLevel="0" collapsed="false">
      <c r="B27" s="16" t="s">
        <v>150</v>
      </c>
      <c r="C27" s="41" t="n">
        <v>5</v>
      </c>
      <c r="D27" s="33"/>
      <c r="E27" s="33"/>
      <c r="F27" s="33"/>
      <c r="G27" s="33"/>
      <c r="H27" s="33"/>
      <c r="I27" s="33"/>
    </row>
    <row r="28" customFormat="false" ht="15" hidden="false" customHeight="false" outlineLevel="0" collapsed="false">
      <c r="B28" s="42" t="s">
        <v>151</v>
      </c>
      <c r="C28" s="43" t="n">
        <f aca="false">(N(C25)+N(C26)+N(C27))*52/12</f>
        <v>208</v>
      </c>
      <c r="D28" s="33"/>
      <c r="E28" s="33"/>
      <c r="F28" s="33"/>
      <c r="G28" s="33"/>
      <c r="H28" s="33"/>
      <c r="I28" s="33"/>
    </row>
    <row r="29" customFormat="false" ht="15" hidden="false" customHeight="true" outlineLevel="0" collapsed="false">
      <c r="B29" s="29" t="s">
        <v>152</v>
      </c>
      <c r="C29" s="44" t="n">
        <f aca="false">IF(C28&gt;0,C24/C28,0)</f>
        <v>12.0192307692308</v>
      </c>
      <c r="D29" s="33" t="s">
        <v>153</v>
      </c>
      <c r="E29" s="33"/>
      <c r="F29" s="33"/>
      <c r="G29" s="33"/>
      <c r="H29" s="33"/>
      <c r="I29" s="33"/>
    </row>
    <row r="30" customFormat="false" ht="15" hidden="false" customHeight="false" outlineLevel="0" collapsed="false">
      <c r="B30" s="16" t="s">
        <v>154</v>
      </c>
      <c r="C30" s="45" t="n">
        <v>21</v>
      </c>
      <c r="D30" s="33"/>
      <c r="E30" s="33"/>
      <c r="F30" s="33"/>
      <c r="G30" s="33"/>
      <c r="H30" s="33"/>
      <c r="I30" s="33"/>
    </row>
    <row r="31" customFormat="false" ht="15" hidden="false" customHeight="false" outlineLevel="0" collapsed="false">
      <c r="B31" s="29" t="s">
        <v>155</v>
      </c>
      <c r="C31" s="30" t="n">
        <f aca="false">C29*N(C30)</f>
        <v>252.403846153846</v>
      </c>
      <c r="D31" s="33"/>
      <c r="E31" s="33"/>
      <c r="F31" s="33"/>
      <c r="G31" s="33"/>
      <c r="H31" s="33"/>
      <c r="I31" s="33"/>
    </row>
  </sheetData>
  <mergeCells count="5">
    <mergeCell ref="B2:I2"/>
    <mergeCell ref="B3:I3"/>
    <mergeCell ref="D17:I19"/>
    <mergeCell ref="D24:I28"/>
    <mergeCell ref="D29: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9E9E"/>
    <pageSetUpPr fitToPage="false"/>
  </sheetPr>
  <dimension ref="B2:G3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5"/>
    <col collapsed="false" customWidth="true" hidden="false" outlineLevel="0" max="4" min="4" style="0" width="14"/>
    <col collapsed="false" customWidth="true" hidden="false" outlineLevel="0" max="6" min="5" style="0" width="15"/>
    <col collapsed="false" customWidth="true" hidden="false" outlineLevel="0" max="7" min="7" style="0" width="14"/>
  </cols>
  <sheetData>
    <row r="2" customFormat="false" ht="39.75" hidden="false" customHeight="true" outlineLevel="0" collapsed="false">
      <c r="B2" s="12" t="s">
        <v>156</v>
      </c>
      <c r="C2" s="12"/>
      <c r="D2" s="12"/>
      <c r="E2" s="12"/>
      <c r="F2" s="12"/>
      <c r="G2" s="12"/>
    </row>
    <row r="3" customFormat="false" ht="31.5" hidden="false" customHeight="true" outlineLevel="0" collapsed="false">
      <c r="B3" s="13" t="s">
        <v>157</v>
      </c>
      <c r="C3" s="13"/>
      <c r="D3" s="13"/>
      <c r="E3" s="13"/>
      <c r="F3" s="13"/>
      <c r="G3" s="13"/>
    </row>
    <row r="5" customFormat="false" ht="15" hidden="false" customHeight="false" outlineLevel="0" collapsed="false">
      <c r="B5" s="19" t="s">
        <v>158</v>
      </c>
    </row>
    <row r="6" customFormat="false" ht="30" hidden="false" customHeight="true" outlineLevel="0" collapsed="false">
      <c r="B6" s="20" t="s">
        <v>144</v>
      </c>
      <c r="C6" s="20" t="s">
        <v>145</v>
      </c>
    </row>
    <row r="7" customFormat="false" ht="15" hidden="false" customHeight="true" outlineLevel="0" collapsed="false">
      <c r="B7" s="16" t="s">
        <v>159</v>
      </c>
      <c r="C7" s="40" t="n">
        <f aca="false">'T · Track'!E58</f>
        <v>1740</v>
      </c>
      <c r="D7" s="33" t="s">
        <v>160</v>
      </c>
      <c r="E7" s="33"/>
      <c r="F7" s="33"/>
      <c r="G7" s="33"/>
    </row>
    <row r="8" customFormat="false" ht="15" hidden="false" customHeight="false" outlineLevel="0" collapsed="false">
      <c r="B8" s="16" t="s">
        <v>161</v>
      </c>
      <c r="C8" s="45" t="n">
        <v>3</v>
      </c>
      <c r="D8" s="33"/>
      <c r="E8" s="33"/>
      <c r="F8" s="33"/>
      <c r="G8" s="33"/>
    </row>
    <row r="9" customFormat="false" ht="15" hidden="false" customHeight="false" outlineLevel="0" collapsed="false">
      <c r="B9" s="42" t="s">
        <v>162</v>
      </c>
      <c r="C9" s="46" t="n">
        <f aca="false">C7</f>
        <v>1740</v>
      </c>
      <c r="D9" s="33"/>
      <c r="E9" s="33"/>
      <c r="F9" s="33"/>
      <c r="G9" s="33"/>
    </row>
    <row r="10" customFormat="false" ht="15" hidden="false" customHeight="false" outlineLevel="0" collapsed="false">
      <c r="B10" s="42" t="s">
        <v>163</v>
      </c>
      <c r="C10" s="24" t="n">
        <f aca="false">C7*N(C8)</f>
        <v>5220</v>
      </c>
      <c r="D10" s="33"/>
      <c r="E10" s="33"/>
      <c r="F10" s="33"/>
      <c r="G10" s="33"/>
    </row>
    <row r="11" customFormat="false" ht="15" hidden="false" customHeight="false" outlineLevel="0" collapsed="false">
      <c r="B11" s="16" t="s">
        <v>164</v>
      </c>
      <c r="C11" s="22" t="n">
        <v>1200</v>
      </c>
    </row>
    <row r="12" customFormat="false" ht="15" hidden="false" customHeight="false" outlineLevel="0" collapsed="false">
      <c r="B12" s="29" t="s">
        <v>165</v>
      </c>
      <c r="C12" s="31" t="n">
        <f aca="false">IF(C10&gt;0,MIN(1,N(C11)/C10),0)</f>
        <v>0.229885057471264</v>
      </c>
    </row>
    <row r="13" customFormat="false" ht="15" hidden="false" customHeight="false" outlineLevel="0" collapsed="false">
      <c r="B13" s="16" t="s">
        <v>166</v>
      </c>
      <c r="C13" s="22" t="n">
        <v>250</v>
      </c>
    </row>
    <row r="14" customFormat="false" ht="15" hidden="false" customHeight="false" outlineLevel="0" collapsed="false">
      <c r="B14" s="42" t="s">
        <v>167</v>
      </c>
      <c r="C14" s="36" t="n">
        <f aca="false">IF(N(C11)&gt;=C10,"Done ✓",IF(N(C13)&gt;0,ROUNDUP((C10-N(C11))/C13,0),"Add a transfer"))</f>
        <v>17</v>
      </c>
    </row>
    <row r="17" customFormat="false" ht="15" hidden="false" customHeight="false" outlineLevel="0" collapsed="false">
      <c r="B17" s="19" t="s">
        <v>168</v>
      </c>
    </row>
    <row r="18" customFormat="false" ht="30" hidden="false" customHeight="true" outlineLevel="0" collapsed="false">
      <c r="B18" s="20" t="s">
        <v>169</v>
      </c>
      <c r="C18" s="20" t="s">
        <v>170</v>
      </c>
      <c r="D18" s="20" t="s">
        <v>171</v>
      </c>
      <c r="E18" s="20" t="s">
        <v>66</v>
      </c>
      <c r="F18" s="20" t="s">
        <v>172</v>
      </c>
      <c r="G18" s="20" t="s">
        <v>165</v>
      </c>
    </row>
    <row r="19" customFormat="false" ht="15" hidden="false" customHeight="false" outlineLevel="0" collapsed="false">
      <c r="B19" s="21" t="s">
        <v>173</v>
      </c>
      <c r="C19" s="22" t="n">
        <v>1500</v>
      </c>
      <c r="D19" s="22" t="n">
        <v>300</v>
      </c>
      <c r="E19" s="22" t="n">
        <v>75</v>
      </c>
      <c r="F19" s="36" t="n">
        <f aca="false">IF(N(C19)=0,"",IF(N(D19)&gt;=C19,"Done ✓",IF(N(E19)&gt;0,ROUNDUP((C19-N(D19))/E19,0),"–")))</f>
        <v>16</v>
      </c>
      <c r="G19" s="47" t="n">
        <f aca="false">IF(N(C19)&gt;0,MIN(1,N(D19)/C19),0)</f>
        <v>0.2</v>
      </c>
    </row>
    <row r="20" customFormat="false" ht="15" hidden="false" customHeight="false" outlineLevel="0" collapsed="false">
      <c r="B20" s="21" t="s">
        <v>174</v>
      </c>
      <c r="C20" s="22" t="n">
        <v>600</v>
      </c>
      <c r="D20" s="22" t="n">
        <v>100</v>
      </c>
      <c r="E20" s="22" t="n">
        <v>50</v>
      </c>
      <c r="F20" s="36" t="n">
        <f aca="false">IF(N(C20)=0,"",IF(N(D20)&gt;=C20,"Done ✓",IF(N(E20)&gt;0,ROUNDUP((C20-N(D20))/E20,0),"–")))</f>
        <v>10</v>
      </c>
      <c r="G20" s="47" t="n">
        <f aca="false">IF(N(C20)&gt;0,MIN(1,N(D20)/C20),0)</f>
        <v>0.166666666666667</v>
      </c>
    </row>
    <row r="21" customFormat="false" ht="15" hidden="false" customHeight="false" outlineLevel="0" collapsed="false">
      <c r="B21" s="21" t="s">
        <v>175</v>
      </c>
      <c r="C21" s="22" t="n">
        <v>1800</v>
      </c>
      <c r="D21" s="22" t="n">
        <v>250</v>
      </c>
      <c r="E21" s="22" t="n">
        <v>100</v>
      </c>
      <c r="F21" s="36" t="n">
        <f aca="false">IF(N(C21)=0,"",IF(N(D21)&gt;=C21,"Done ✓",IF(N(E21)&gt;0,ROUNDUP((C21-N(D21))/E21,0),"–")))</f>
        <v>16</v>
      </c>
      <c r="G21" s="47" t="n">
        <f aca="false">IF(N(C21)&gt;0,MIN(1,N(D21)/C21),0)</f>
        <v>0.138888888888889</v>
      </c>
    </row>
    <row r="22" customFormat="false" ht="15" hidden="false" customHeight="false" outlineLevel="0" collapsed="false">
      <c r="B22" s="21"/>
      <c r="C22" s="22"/>
      <c r="D22" s="22"/>
      <c r="E22" s="22"/>
      <c r="F22" s="36" t="str">
        <f aca="false">IF(N(C22)=0,"",IF(N(D22)&gt;=C22,"Done ✓",IF(N(E22)&gt;0,ROUNDUP((C22-N(D22))/E22,0),"–")))</f>
        <v/>
      </c>
      <c r="G22" s="47" t="n">
        <f aca="false">IF(N(C22)&gt;0,MIN(1,N(D22)/C22),0)</f>
        <v>0</v>
      </c>
    </row>
    <row r="23" customFormat="false" ht="15" hidden="false" customHeight="false" outlineLevel="0" collapsed="false">
      <c r="B23" s="21"/>
      <c r="C23" s="22"/>
      <c r="D23" s="22"/>
      <c r="E23" s="22"/>
      <c r="F23" s="36" t="str">
        <f aca="false">IF(N(C23)=0,"",IF(N(D23)&gt;=C23,"Done ✓",IF(N(E23)&gt;0,ROUNDUP((C23-N(D23))/E23,0),"–")))</f>
        <v/>
      </c>
      <c r="G23" s="47" t="n">
        <f aca="false">IF(N(C23)&gt;0,MIN(1,N(D23)/C23),0)</f>
        <v>0</v>
      </c>
    </row>
    <row r="24" customFormat="false" ht="15" hidden="false" customHeight="false" outlineLevel="0" collapsed="false">
      <c r="B24" s="21"/>
      <c r="C24" s="22"/>
      <c r="D24" s="22"/>
      <c r="E24" s="22"/>
      <c r="F24" s="36" t="str">
        <f aca="false">IF(N(C24)=0,"",IF(N(D24)&gt;=C24,"Done ✓",IF(N(E24)&gt;0,ROUNDUP((C24-N(D24))/E24,0),"–")))</f>
        <v/>
      </c>
      <c r="G24" s="47" t="n">
        <f aca="false">IF(N(C24)&gt;0,MIN(1,N(D24)/C24),0)</f>
        <v>0</v>
      </c>
    </row>
    <row r="25" customFormat="false" ht="15" hidden="false" customHeight="false" outlineLevel="0" collapsed="false">
      <c r="B25" s="21"/>
      <c r="C25" s="22"/>
      <c r="D25" s="22"/>
      <c r="E25" s="22"/>
      <c r="F25" s="36" t="str">
        <f aca="false">IF(N(C25)=0,"",IF(N(D25)&gt;=C25,"Done ✓",IF(N(E25)&gt;0,ROUNDUP((C25-N(D25))/E25,0),"–")))</f>
        <v/>
      </c>
      <c r="G25" s="47" t="n">
        <f aca="false">IF(N(C25)&gt;0,MIN(1,N(D25)/C25),0)</f>
        <v>0</v>
      </c>
    </row>
    <row r="26" customFormat="false" ht="15" hidden="false" customHeight="false" outlineLevel="0" collapsed="false">
      <c r="B26" s="21"/>
      <c r="C26" s="22"/>
      <c r="D26" s="22"/>
      <c r="E26" s="22"/>
      <c r="F26" s="36" t="str">
        <f aca="false">IF(N(C26)=0,"",IF(N(D26)&gt;=C26,"Done ✓",IF(N(E26)&gt;0,ROUNDUP((C26-N(D26))/E26,0),"–")))</f>
        <v/>
      </c>
      <c r="G26" s="47" t="n">
        <f aca="false">IF(N(C26)&gt;0,MIN(1,N(D26)/C26),0)</f>
        <v>0</v>
      </c>
    </row>
    <row r="27" customFormat="false" ht="15" hidden="false" customHeight="false" outlineLevel="0" collapsed="false">
      <c r="B27" s="21"/>
      <c r="C27" s="22"/>
      <c r="D27" s="22"/>
      <c r="E27" s="22"/>
      <c r="F27" s="36" t="str">
        <f aca="false">IF(N(C27)=0,"",IF(N(D27)&gt;=C27,"Done ✓",IF(N(E27)&gt;0,ROUNDUP((C27-N(D27))/E27,0),"–")))</f>
        <v/>
      </c>
      <c r="G27" s="47" t="n">
        <f aca="false">IF(N(C27)&gt;0,MIN(1,N(D27)/C27),0)</f>
        <v>0</v>
      </c>
    </row>
    <row r="28" customFormat="false" ht="15" hidden="false" customHeight="false" outlineLevel="0" collapsed="false">
      <c r="B28" s="21"/>
      <c r="C28" s="22"/>
      <c r="D28" s="22"/>
      <c r="E28" s="22"/>
      <c r="F28" s="36" t="str">
        <f aca="false">IF(N(C28)=0,"",IF(N(D28)&gt;=C28,"Done ✓",IF(N(E28)&gt;0,ROUNDUP((C28-N(D28))/E28,0),"–")))</f>
        <v/>
      </c>
      <c r="G28" s="47" t="n">
        <f aca="false">IF(N(C28)&gt;0,MIN(1,N(D28)/C28),0)</f>
        <v>0</v>
      </c>
    </row>
    <row r="30" customFormat="false" ht="15" hidden="false" customHeight="false" outlineLevel="0" collapsed="false">
      <c r="B30" s="42" t="s">
        <v>176</v>
      </c>
      <c r="E30" s="24" t="n">
        <f aca="false">SUM(E19:E28)</f>
        <v>225</v>
      </c>
    </row>
    <row r="31" customFormat="false" ht="15" hidden="false" customHeight="false" outlineLevel="0" collapsed="false">
      <c r="B31" s="29" t="s">
        <v>177</v>
      </c>
      <c r="E31" s="30" t="n">
        <f aca="false">N(C13)+E30</f>
        <v>475</v>
      </c>
    </row>
    <row r="32" customFormat="false" ht="15" hidden="false" customHeight="false" outlineLevel="0" collapsed="false">
      <c r="B32" s="15" t="s">
        <v>178</v>
      </c>
      <c r="E32" s="24" t="n">
        <f aca="false">'T · Track'!E62-E31</f>
        <v>80</v>
      </c>
    </row>
    <row r="33" customFormat="false" ht="15" hidden="false" customHeight="true" outlineLevel="0" collapsed="false">
      <c r="B33" s="33" t="s">
        <v>179</v>
      </c>
      <c r="C33" s="33"/>
      <c r="D33" s="33"/>
      <c r="E33" s="33"/>
      <c r="F33" s="33"/>
      <c r="G33" s="33"/>
    </row>
  </sheetData>
  <mergeCells count="4">
    <mergeCell ref="B2:G2"/>
    <mergeCell ref="B3:G3"/>
    <mergeCell ref="D7:G10"/>
    <mergeCell ref="B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9E9E"/>
    <pageSetUpPr fitToPage="false"/>
  </sheetPr>
  <dimension ref="B2:E3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14"/>
    <col collapsed="false" customWidth="true" hidden="false" outlineLevel="0" max="5" min="5" style="0" width="40"/>
  </cols>
  <sheetData>
    <row r="2" customFormat="false" ht="39.75" hidden="false" customHeight="true" outlineLevel="0" collapsed="false">
      <c r="B2" s="12" t="s">
        <v>180</v>
      </c>
      <c r="C2" s="12"/>
      <c r="D2" s="12"/>
      <c r="E2" s="12"/>
    </row>
    <row r="3" customFormat="false" ht="31.5" hidden="false" customHeight="true" outlineLevel="0" collapsed="false">
      <c r="B3" s="13" t="s">
        <v>181</v>
      </c>
      <c r="C3" s="13"/>
      <c r="D3" s="13"/>
      <c r="E3" s="13"/>
    </row>
    <row r="5" customFormat="false" ht="30" hidden="false" customHeight="true" outlineLevel="0" collapsed="false">
      <c r="B5" s="20" t="s">
        <v>182</v>
      </c>
      <c r="C5" s="20" t="s">
        <v>183</v>
      </c>
      <c r="D5" s="20" t="s">
        <v>184</v>
      </c>
      <c r="E5" s="20" t="s">
        <v>185</v>
      </c>
    </row>
    <row r="6" customFormat="false" ht="15" hidden="false" customHeight="false" outlineLevel="0" collapsed="false">
      <c r="B6" s="21" t="s">
        <v>186</v>
      </c>
      <c r="C6" s="41" t="n">
        <v>49</v>
      </c>
      <c r="D6" s="41" t="n">
        <v>52</v>
      </c>
      <c r="E6" s="21" t="s">
        <v>187</v>
      </c>
    </row>
    <row r="7" customFormat="false" ht="15" hidden="false" customHeight="false" outlineLevel="0" collapsed="false">
      <c r="B7" s="21" t="s">
        <v>188</v>
      </c>
      <c r="C7" s="41" t="n">
        <v>43</v>
      </c>
      <c r="D7" s="41" t="n">
        <v>40</v>
      </c>
      <c r="E7" s="21" t="s">
        <v>189</v>
      </c>
    </row>
    <row r="8" customFormat="false" ht="15" hidden="false" customHeight="false" outlineLevel="0" collapsed="false">
      <c r="B8" s="21" t="s">
        <v>190</v>
      </c>
      <c r="C8" s="41" t="n">
        <v>5</v>
      </c>
      <c r="D8" s="41" t="n">
        <v>5</v>
      </c>
      <c r="E8" s="21"/>
    </row>
    <row r="9" customFormat="false" ht="15" hidden="false" customHeight="false" outlineLevel="0" collapsed="false">
      <c r="B9" s="21" t="s">
        <v>89</v>
      </c>
      <c r="C9" s="41" t="n">
        <v>10</v>
      </c>
      <c r="D9" s="41" t="n">
        <v>10</v>
      </c>
      <c r="E9" s="21" t="s">
        <v>191</v>
      </c>
    </row>
    <row r="10" customFormat="false" ht="15" hidden="false" customHeight="false" outlineLevel="0" collapsed="false">
      <c r="B10" s="21" t="s">
        <v>192</v>
      </c>
      <c r="C10" s="41" t="n">
        <v>10</v>
      </c>
      <c r="D10" s="41" t="n">
        <v>8</v>
      </c>
      <c r="E10" s="21" t="s">
        <v>193</v>
      </c>
    </row>
    <row r="11" customFormat="false" ht="15" hidden="false" customHeight="false" outlineLevel="0" collapsed="false">
      <c r="B11" s="21" t="s">
        <v>194</v>
      </c>
      <c r="C11" s="41" t="n">
        <v>12</v>
      </c>
      <c r="D11" s="41" t="n">
        <v>16</v>
      </c>
      <c r="E11" s="21" t="s">
        <v>195</v>
      </c>
    </row>
    <row r="12" customFormat="false" ht="15" hidden="false" customHeight="false" outlineLevel="0" collapsed="false">
      <c r="B12" s="21" t="s">
        <v>196</v>
      </c>
      <c r="C12" s="41" t="n">
        <v>3</v>
      </c>
      <c r="D12" s="41" t="n">
        <v>4</v>
      </c>
      <c r="E12" s="21" t="s">
        <v>197</v>
      </c>
    </row>
    <row r="13" customFormat="false" ht="15" hidden="false" customHeight="false" outlineLevel="0" collapsed="false">
      <c r="B13" s="21" t="s">
        <v>198</v>
      </c>
      <c r="C13" s="41" t="n">
        <v>3</v>
      </c>
      <c r="D13" s="41" t="n">
        <v>4</v>
      </c>
      <c r="E13" s="21" t="s">
        <v>199</v>
      </c>
    </row>
    <row r="14" customFormat="false" ht="15" hidden="false" customHeight="false" outlineLevel="0" collapsed="false">
      <c r="B14" s="21" t="s">
        <v>200</v>
      </c>
      <c r="C14" s="41" t="n">
        <v>10</v>
      </c>
      <c r="D14" s="41" t="n">
        <v>10</v>
      </c>
      <c r="E14" s="21"/>
    </row>
    <row r="15" customFormat="false" ht="15" hidden="false" customHeight="false" outlineLevel="0" collapsed="false">
      <c r="B15" s="21"/>
      <c r="C15" s="41"/>
      <c r="D15" s="41"/>
      <c r="E15" s="21"/>
    </row>
    <row r="16" customFormat="false" ht="15" hidden="false" customHeight="false" outlineLevel="0" collapsed="false">
      <c r="B16" s="21"/>
      <c r="C16" s="41"/>
      <c r="D16" s="41"/>
      <c r="E16" s="21"/>
    </row>
    <row r="17" customFormat="false" ht="15" hidden="false" customHeight="false" outlineLevel="0" collapsed="false">
      <c r="B17" s="21"/>
      <c r="C17" s="41"/>
      <c r="D17" s="41"/>
      <c r="E17" s="21"/>
    </row>
    <row r="19" customFormat="false" ht="15" hidden="false" customHeight="false" outlineLevel="0" collapsed="false">
      <c r="B19" s="42" t="s">
        <v>201</v>
      </c>
      <c r="C19" s="48" t="n">
        <f aca="false">SUM(C6:C17)</f>
        <v>145</v>
      </c>
      <c r="D19" s="48" t="n">
        <f aca="false">SUM(D6:D17)</f>
        <v>149</v>
      </c>
    </row>
    <row r="20" customFormat="false" ht="15" hidden="false" customHeight="false" outlineLevel="0" collapsed="false">
      <c r="B20" s="29" t="s">
        <v>202</v>
      </c>
      <c r="C20" s="49" t="n">
        <f aca="false">168-C19</f>
        <v>23</v>
      </c>
      <c r="D20" s="49" t="n">
        <f aca="false">168-D19</f>
        <v>19</v>
      </c>
    </row>
    <row r="22" customFormat="false" ht="15" hidden="false" customHeight="false" outlineLevel="0" collapsed="false">
      <c r="B22" s="18" t="s">
        <v>203</v>
      </c>
      <c r="C22" s="50" t="n">
        <f aca="false">SUMIF(B6:B17,"Family*",D6:D17)-SUMIF(B6:B17,"Family*",C6:C17)</f>
        <v>4</v>
      </c>
    </row>
    <row r="23" customFormat="false" ht="15" hidden="false" customHeight="false" outlineLevel="0" collapsed="false">
      <c r="B23" s="18" t="s">
        <v>204</v>
      </c>
      <c r="C23" s="51" t="n">
        <f aca="false">C22*52</f>
        <v>208</v>
      </c>
    </row>
    <row r="25" customFormat="false" ht="24" hidden="false" customHeight="true" outlineLevel="0" collapsed="false">
      <c r="B25" s="33" t="s">
        <v>205</v>
      </c>
      <c r="C25" s="33"/>
      <c r="D25" s="33"/>
      <c r="E25" s="33"/>
    </row>
    <row r="26" customFormat="false" ht="15" hidden="false" customHeight="false" outlineLevel="0" collapsed="false">
      <c r="B26" s="33"/>
      <c r="C26" s="33"/>
      <c r="D26" s="33"/>
      <c r="E26" s="33"/>
    </row>
    <row r="28" customFormat="false" ht="15" hidden="false" customHeight="true" outlineLevel="0" collapsed="false">
      <c r="B28" s="42" t="s">
        <v>206</v>
      </c>
      <c r="C28" s="52" t="n">
        <f aca="false">'U · Understand'!C29</f>
        <v>12.0192307692308</v>
      </c>
      <c r="D28" s="33" t="s">
        <v>207</v>
      </c>
      <c r="E28" s="33"/>
    </row>
    <row r="29" customFormat="false" ht="23.85" hidden="false" customHeight="false" outlineLevel="0" collapsed="false">
      <c r="B29" s="42" t="s">
        <v>208</v>
      </c>
      <c r="C29" s="24" t="n">
        <f aca="false">MAX(0,SUMIF(B6:B17,"Paid work*",C6:C17)-SUMIF(B6:B17,"Paid work*",D6:D17))*52*C28</f>
        <v>1875</v>
      </c>
      <c r="D29" s="33"/>
      <c r="E29" s="33"/>
    </row>
    <row r="30" customFormat="false" ht="15" hidden="false" customHeight="false" outlineLevel="0" collapsed="false">
      <c r="D30" s="33"/>
      <c r="E30" s="33"/>
    </row>
  </sheetData>
  <mergeCells count="4">
    <mergeCell ref="B2:E2"/>
    <mergeCell ref="B3:E3"/>
    <mergeCell ref="B25:E26"/>
    <mergeCell ref="D28: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6E"/>
    <pageSetUpPr fitToPage="false"/>
  </sheetPr>
  <dimension ref="B2:I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4"/>
    <col collapsed="false" customWidth="true" hidden="false" outlineLevel="0" max="4" min="4" style="0" width="11"/>
    <col collapsed="false" customWidth="true" hidden="false" outlineLevel="0" max="5" min="5" style="0" width="12"/>
    <col collapsed="false" customWidth="true" hidden="false" outlineLevel="0" max="7" min="6" style="0" width="14"/>
    <col collapsed="false" customWidth="true" hidden="false" outlineLevel="0" max="8" min="8" style="0" width="13"/>
    <col collapsed="false" customWidth="true" hidden="false" outlineLevel="0" max="9" min="9" style="0" width="30"/>
  </cols>
  <sheetData>
    <row r="2" customFormat="false" ht="39.75" hidden="false" customHeight="true" outlineLevel="0" collapsed="false">
      <c r="B2" s="12" t="s">
        <v>209</v>
      </c>
      <c r="C2" s="12"/>
      <c r="D2" s="12"/>
      <c r="E2" s="12"/>
      <c r="F2" s="12"/>
      <c r="G2" s="12"/>
      <c r="H2" s="12"/>
      <c r="I2" s="12"/>
    </row>
    <row r="3" customFormat="false" ht="31.5" hidden="false" customHeight="true" outlineLevel="0" collapsed="false">
      <c r="B3" s="13" t="s">
        <v>210</v>
      </c>
      <c r="C3" s="13"/>
      <c r="D3" s="13"/>
      <c r="E3" s="13"/>
      <c r="F3" s="13"/>
      <c r="G3" s="13"/>
      <c r="H3" s="13"/>
      <c r="I3" s="13"/>
    </row>
    <row r="5" customFormat="false" ht="30" hidden="false" customHeight="true" outlineLevel="0" collapsed="false">
      <c r="B5" s="20" t="s">
        <v>211</v>
      </c>
      <c r="C5" s="20" t="s">
        <v>212</v>
      </c>
      <c r="D5" s="20" t="s">
        <v>213</v>
      </c>
      <c r="E5" s="20" t="s">
        <v>214</v>
      </c>
      <c r="F5" s="20" t="s">
        <v>215</v>
      </c>
      <c r="G5" s="20" t="s">
        <v>216</v>
      </c>
      <c r="H5" s="20" t="s">
        <v>217</v>
      </c>
      <c r="I5" s="20" t="s">
        <v>218</v>
      </c>
    </row>
    <row r="6" customFormat="false" ht="15" hidden="false" customHeight="false" outlineLevel="0" collapsed="false">
      <c r="B6" s="21" t="s">
        <v>219</v>
      </c>
      <c r="C6" s="21" t="s">
        <v>220</v>
      </c>
      <c r="D6" s="21" t="s">
        <v>221</v>
      </c>
      <c r="E6" s="41" t="n">
        <v>0</v>
      </c>
      <c r="F6" s="21" t="s">
        <v>222</v>
      </c>
      <c r="G6" s="22" t="n">
        <v>150</v>
      </c>
      <c r="H6" s="53" t="str">
        <f aca="false">IF(N(E6)&gt;0,N(G6)/(E6*52/12),IF(N(G6)&gt;0,"no time logged",""))</f>
        <v>no time logged</v>
      </c>
      <c r="I6" s="21" t="s">
        <v>223</v>
      </c>
    </row>
    <row r="7" customFormat="false" ht="15" hidden="false" customHeight="false" outlineLevel="0" collapsed="false">
      <c r="B7" s="21" t="s">
        <v>224</v>
      </c>
      <c r="C7" s="21" t="s">
        <v>225</v>
      </c>
      <c r="D7" s="21" t="s">
        <v>226</v>
      </c>
      <c r="E7" s="41" t="n">
        <v>3</v>
      </c>
      <c r="F7" s="21" t="s">
        <v>227</v>
      </c>
      <c r="G7" s="22" t="n">
        <v>60</v>
      </c>
      <c r="H7" s="53" t="n">
        <f aca="false">IF(N(E7)&gt;0,N(G7)/(E7*52/12),IF(N(G7)&gt;0,"no time logged",""))</f>
        <v>4.61538461538462</v>
      </c>
      <c r="I7" s="21" t="s">
        <v>228</v>
      </c>
    </row>
    <row r="8" customFormat="false" ht="15" hidden="false" customHeight="false" outlineLevel="0" collapsed="false">
      <c r="B8" s="21" t="s">
        <v>229</v>
      </c>
      <c r="C8" s="21" t="s">
        <v>230</v>
      </c>
      <c r="D8" s="21" t="s">
        <v>231</v>
      </c>
      <c r="E8" s="41" t="n">
        <v>0</v>
      </c>
      <c r="F8" s="21"/>
      <c r="G8" s="22" t="n">
        <v>0</v>
      </c>
      <c r="H8" s="53" t="str">
        <f aca="false">IF(N(E8)&gt;0,N(G8)/(E8*52/12),IF(N(G8)&gt;0,"no time logged",""))</f>
        <v/>
      </c>
      <c r="I8" s="21" t="s">
        <v>232</v>
      </c>
    </row>
    <row r="9" customFormat="false" ht="15" hidden="false" customHeight="false" outlineLevel="0" collapsed="false">
      <c r="B9" s="21"/>
      <c r="C9" s="21"/>
      <c r="D9" s="21"/>
      <c r="E9" s="41"/>
      <c r="F9" s="21"/>
      <c r="G9" s="22"/>
      <c r="H9" s="53" t="str">
        <f aca="false">IF(N(E9)&gt;0,N(G9)/(E9*52/12),IF(N(G9)&gt;0,"no time logged",""))</f>
        <v/>
      </c>
      <c r="I9" s="21"/>
    </row>
    <row r="10" customFormat="false" ht="15" hidden="false" customHeight="false" outlineLevel="0" collapsed="false">
      <c r="B10" s="21"/>
      <c r="C10" s="21"/>
      <c r="D10" s="21"/>
      <c r="E10" s="41"/>
      <c r="F10" s="21"/>
      <c r="G10" s="22"/>
      <c r="H10" s="53" t="str">
        <f aca="false">IF(N(E10)&gt;0,N(G10)/(E10*52/12),IF(N(G10)&gt;0,"no time logged",""))</f>
        <v/>
      </c>
      <c r="I10" s="21"/>
    </row>
    <row r="11" customFormat="false" ht="15" hidden="false" customHeight="false" outlineLevel="0" collapsed="false">
      <c r="B11" s="21"/>
      <c r="C11" s="21"/>
      <c r="D11" s="21"/>
      <c r="E11" s="41"/>
      <c r="F11" s="21"/>
      <c r="G11" s="22"/>
      <c r="H11" s="53" t="str">
        <f aca="false">IF(N(E11)&gt;0,N(G11)/(E11*52/12),IF(N(G11)&gt;0,"no time logged",""))</f>
        <v/>
      </c>
      <c r="I11" s="21"/>
    </row>
    <row r="12" customFormat="false" ht="15" hidden="false" customHeight="false" outlineLevel="0" collapsed="false">
      <c r="B12" s="21"/>
      <c r="C12" s="21"/>
      <c r="D12" s="21"/>
      <c r="E12" s="41"/>
      <c r="F12" s="21"/>
      <c r="G12" s="22"/>
      <c r="H12" s="53" t="str">
        <f aca="false">IF(N(E12)&gt;0,N(G12)/(E12*52/12),IF(N(G12)&gt;0,"no time logged",""))</f>
        <v/>
      </c>
      <c r="I12" s="21"/>
    </row>
    <row r="13" customFormat="false" ht="15" hidden="false" customHeight="false" outlineLevel="0" collapsed="false">
      <c r="B13" s="21"/>
      <c r="C13" s="21"/>
      <c r="D13" s="21"/>
      <c r="E13" s="41"/>
      <c r="F13" s="21"/>
      <c r="G13" s="22"/>
      <c r="H13" s="53" t="str">
        <f aca="false">IF(N(E13)&gt;0,N(G13)/(E13*52/12),IF(N(G13)&gt;0,"no time logged",""))</f>
        <v/>
      </c>
      <c r="I13" s="21"/>
    </row>
    <row r="14" customFormat="false" ht="15" hidden="false" customHeight="false" outlineLevel="0" collapsed="false">
      <c r="B14" s="21"/>
      <c r="C14" s="21"/>
      <c r="D14" s="21"/>
      <c r="E14" s="41"/>
      <c r="F14" s="21"/>
      <c r="G14" s="22"/>
      <c r="H14" s="53" t="str">
        <f aca="false">IF(N(E14)&gt;0,N(G14)/(E14*52/12),IF(N(G14)&gt;0,"no time logged",""))</f>
        <v/>
      </c>
      <c r="I14" s="21"/>
    </row>
    <row r="15" customFormat="false" ht="15" hidden="false" customHeight="false" outlineLevel="0" collapsed="false">
      <c r="B15" s="21"/>
      <c r="C15" s="21"/>
      <c r="D15" s="21"/>
      <c r="E15" s="41"/>
      <c r="F15" s="21"/>
      <c r="G15" s="22"/>
      <c r="H15" s="53" t="str">
        <f aca="false">IF(N(E15)&gt;0,N(G15)/(E15*52/12),IF(N(G15)&gt;0,"no time logged",""))</f>
        <v/>
      </c>
      <c r="I15" s="21"/>
    </row>
    <row r="16" customFormat="false" ht="15" hidden="false" customHeight="false" outlineLevel="0" collapsed="false">
      <c r="B16" s="21"/>
      <c r="C16" s="21"/>
      <c r="D16" s="21"/>
      <c r="E16" s="41"/>
      <c r="F16" s="21"/>
      <c r="G16" s="22"/>
      <c r="H16" s="53" t="str">
        <f aca="false">IF(N(E16)&gt;0,N(G16)/(E16*52/12),IF(N(G16)&gt;0,"no time logged",""))</f>
        <v/>
      </c>
      <c r="I16" s="21"/>
    </row>
    <row r="17" customFormat="false" ht="15" hidden="false" customHeight="false" outlineLevel="0" collapsed="false">
      <c r="B17" s="21"/>
      <c r="C17" s="21"/>
      <c r="D17" s="21"/>
      <c r="E17" s="41"/>
      <c r="F17" s="21"/>
      <c r="G17" s="22"/>
      <c r="H17" s="53" t="str">
        <f aca="false">IF(N(E17)&gt;0,N(G17)/(E17*52/12),IF(N(G17)&gt;0,"no time logged",""))</f>
        <v/>
      </c>
      <c r="I17" s="21"/>
    </row>
    <row r="18" customFormat="false" ht="15" hidden="false" customHeight="false" outlineLevel="0" collapsed="false">
      <c r="B18" s="21"/>
      <c r="C18" s="21"/>
      <c r="D18" s="21"/>
      <c r="E18" s="41"/>
      <c r="F18" s="21"/>
      <c r="G18" s="22"/>
      <c r="H18" s="53" t="str">
        <f aca="false">IF(N(E18)&gt;0,N(G18)/(E18*52/12),IF(N(G18)&gt;0,"no time logged",""))</f>
        <v/>
      </c>
      <c r="I18" s="21"/>
    </row>
    <row r="19" customFormat="false" ht="15" hidden="false" customHeight="false" outlineLevel="0" collapsed="false">
      <c r="B19" s="21"/>
      <c r="C19" s="21"/>
      <c r="D19" s="21"/>
      <c r="E19" s="41"/>
      <c r="F19" s="21"/>
      <c r="G19" s="22"/>
      <c r="H19" s="53" t="str">
        <f aca="false">IF(N(E19)&gt;0,N(G19)/(E19*52/12),IF(N(G19)&gt;0,"no time logged",""))</f>
        <v/>
      </c>
      <c r="I19" s="21"/>
    </row>
    <row r="20" customFormat="false" ht="15" hidden="false" customHeight="false" outlineLevel="0" collapsed="false">
      <c r="B20" s="21"/>
      <c r="C20" s="21"/>
      <c r="D20" s="21"/>
      <c r="E20" s="41"/>
      <c r="F20" s="21"/>
      <c r="G20" s="22"/>
      <c r="H20" s="53" t="str">
        <f aca="false">IF(N(E20)&gt;0,N(G20)/(E20*52/12),IF(N(G20)&gt;0,"no time logged",""))</f>
        <v/>
      </c>
      <c r="I20" s="21"/>
    </row>
    <row r="21" customFormat="false" ht="15" hidden="false" customHeight="false" outlineLevel="0" collapsed="false">
      <c r="B21" s="21"/>
      <c r="C21" s="21"/>
      <c r="D21" s="21"/>
      <c r="E21" s="41"/>
      <c r="F21" s="21"/>
      <c r="G21" s="22"/>
      <c r="H21" s="53" t="str">
        <f aca="false">IF(N(E21)&gt;0,N(G21)/(E21*52/12),IF(N(G21)&gt;0,"no time logged",""))</f>
        <v/>
      </c>
      <c r="I21" s="21"/>
    </row>
    <row r="23" customFormat="false" ht="15" hidden="false" customHeight="false" outlineLevel="0" collapsed="false">
      <c r="B23" s="29" t="s">
        <v>233</v>
      </c>
      <c r="G23" s="30" t="n">
        <f aca="false">SUMIF(C6:C21,"&lt;&gt;Career (raise/promotion)",G6:G21)</f>
        <v>60</v>
      </c>
    </row>
    <row r="24" customFormat="false" ht="15" hidden="false" customHeight="false" outlineLevel="0" collapsed="false">
      <c r="B24" s="42" t="s">
        <v>234</v>
      </c>
      <c r="G24" s="24" t="n">
        <f aca="false">SUMIF(C6:C21,"Career (raise/promotion)",G6:G21)</f>
        <v>150</v>
      </c>
    </row>
    <row r="25" customFormat="false" ht="15" hidden="false" customHeight="false" outlineLevel="0" collapsed="false">
      <c r="B25" s="42" t="s">
        <v>235</v>
      </c>
      <c r="E25" s="54" t="n">
        <f aca="false">SUM(E6:E21)</f>
        <v>3</v>
      </c>
    </row>
    <row r="26" customFormat="false" ht="23.85" hidden="false" customHeight="false" outlineLevel="0" collapsed="false">
      <c r="B26" s="18" t="s">
        <v>236</v>
      </c>
      <c r="G26" s="55" t="n">
        <f aca="false">IF('T · Track'!E58&gt;0,G23/'T · Track'!E58,0)</f>
        <v>0.0344827586206897</v>
      </c>
    </row>
    <row r="28" customFormat="false" ht="15" hidden="false" customHeight="true" outlineLevel="0" collapsed="false">
      <c r="B28" s="33" t="s">
        <v>237</v>
      </c>
      <c r="C28" s="33"/>
      <c r="D28" s="33"/>
      <c r="E28" s="33"/>
      <c r="F28" s="33"/>
      <c r="G28" s="33"/>
      <c r="H28" s="33"/>
      <c r="I28" s="33"/>
    </row>
  </sheetData>
  <mergeCells count="3">
    <mergeCell ref="B2:I2"/>
    <mergeCell ref="B3:I3"/>
    <mergeCell ref="B28:I28"/>
  </mergeCells>
  <dataValidations count="2">
    <dataValidation allowBlank="true" errorStyle="stop" operator="between" showDropDown="false" showErrorMessage="false" showInputMessage="false" sqref="C6:C21" type="list">
      <formula1>Lists!$D$1:$D$9</formula1>
      <formula2>0</formula2>
    </dataValidation>
    <dataValidation allowBlank="true" errorStyle="stop" operator="between" showDropDown="false" showErrorMessage="false" showInputMessage="false" sqref="D6:D21" type="list">
      <formula1>Lists!$E$1:$E$4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1B5E"/>
    <pageSetUpPr fitToPage="false"/>
  </sheetPr>
  <dimension ref="B2:F2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8"/>
    <col collapsed="false" customWidth="true" hidden="false" outlineLevel="0" max="4" min="4" style="0" width="4"/>
    <col collapsed="false" customWidth="true" hidden="false" outlineLevel="0" max="5" min="5" style="0" width="30"/>
    <col collapsed="false" customWidth="true" hidden="false" outlineLevel="0" max="6" min="6" style="0" width="18"/>
  </cols>
  <sheetData>
    <row r="2" customFormat="false" ht="39.75" hidden="false" customHeight="true" outlineLevel="0" collapsed="false">
      <c r="B2" s="12" t="s">
        <v>238</v>
      </c>
      <c r="C2" s="12"/>
      <c r="D2" s="12"/>
      <c r="E2" s="12"/>
      <c r="F2" s="12"/>
    </row>
    <row r="3" customFormat="false" ht="31.5" hidden="false" customHeight="true" outlineLevel="0" collapsed="false">
      <c r="B3" s="13" t="s">
        <v>239</v>
      </c>
      <c r="C3" s="13"/>
      <c r="D3" s="13"/>
      <c r="E3" s="13"/>
      <c r="F3" s="13"/>
    </row>
    <row r="5" customFormat="false" ht="15" hidden="false" customHeight="false" outlineLevel="0" collapsed="false">
      <c r="B5" s="14" t="s">
        <v>240</v>
      </c>
    </row>
    <row r="6" customFormat="false" ht="27.75" hidden="false" customHeight="true" outlineLevel="0" collapsed="false">
      <c r="B6" s="56" t="str">
        <f aca="false">INDEX(Lists!$F$1:$F$7,C9+1)</f>
        <v>Level 1 · Stable</v>
      </c>
      <c r="C6" s="56"/>
      <c r="E6" s="57" t="str">
        <f aca="false">CHOOSE(C9+1,"Next step: more goes out than comes in. Use R · Reclaim and cut wants until KEEP is at least €0.","Next step: build a starter buffer of one month of needs before anything else.","Next step: clear consumer debt, highest interest first (Priority 1 on U · Understand).","Next step: grow the buffer into your full emergency fund on S · Save.","Next step: you are secure. Learn long-term investing basics and start ONE income stream.","Next step: extra income covers 25%+ of needs. Keep investing; decide what time you want back.","You have choices. Extra income covers your baseline. Decide on your terms how much you want to work.")</f>
        <v>Next step: build a starter buffer of one month of needs before anything else.</v>
      </c>
      <c r="F6" s="57"/>
    </row>
    <row r="7" customFormat="false" ht="27.75" hidden="false" customHeight="true" outlineLevel="0" collapsed="false">
      <c r="B7" s="56"/>
      <c r="C7" s="56"/>
      <c r="E7" s="57"/>
      <c r="F7" s="57"/>
    </row>
    <row r="9" customFormat="false" ht="15" hidden="false" customHeight="false" outlineLevel="0" collapsed="false">
      <c r="B9" s="16" t="s">
        <v>241</v>
      </c>
      <c r="C9" s="58" t="n">
        <f aca="false">IF(C14&lt;0,0,IF(C22&lt;C13,1,IF(C20&gt;0,2,IF(C22&lt;C23,3,IF(C25&lt;0.25*C13,4,IF(C25&lt;C13,5,6))))))</f>
        <v>1</v>
      </c>
    </row>
    <row r="11" customFormat="false" ht="15" hidden="false" customHeight="false" outlineLevel="0" collapsed="false">
      <c r="B11" s="19" t="s">
        <v>242</v>
      </c>
      <c r="E11" s="19" t="s">
        <v>243</v>
      </c>
    </row>
    <row r="12" customFormat="false" ht="15" hidden="false" customHeight="false" outlineLevel="0" collapsed="false">
      <c r="B12" s="16" t="s">
        <v>244</v>
      </c>
      <c r="C12" s="59" t="n">
        <f aca="false">'T · Track'!E13</f>
        <v>2560</v>
      </c>
      <c r="E12" s="16" t="s">
        <v>245</v>
      </c>
      <c r="F12" s="60" t="n">
        <f aca="false">'U · Understand'!C29</f>
        <v>12.0192307692308</v>
      </c>
    </row>
    <row r="13" customFormat="false" ht="15" hidden="false" customHeight="false" outlineLevel="0" collapsed="false">
      <c r="B13" s="16" t="s">
        <v>246</v>
      </c>
      <c r="C13" s="61" t="n">
        <f aca="false">'T · Track'!E58</f>
        <v>1740</v>
      </c>
      <c r="E13" s="16" t="s">
        <v>155</v>
      </c>
      <c r="F13" s="62" t="n">
        <f aca="false">'U · Understand'!C31</f>
        <v>252.403846153846</v>
      </c>
    </row>
    <row r="14" customFormat="false" ht="15" hidden="false" customHeight="false" outlineLevel="0" collapsed="false">
      <c r="B14" s="16" t="s">
        <v>247</v>
      </c>
      <c r="C14" s="62" t="n">
        <f aca="false">'T · Track'!E62</f>
        <v>555</v>
      </c>
      <c r="E14" s="16" t="s">
        <v>248</v>
      </c>
      <c r="F14" s="63" t="n">
        <f aca="false">'Income Streams'!E25</f>
        <v>3</v>
      </c>
    </row>
    <row r="15" customFormat="false" ht="15" hidden="false" customHeight="false" outlineLevel="0" collapsed="false">
      <c r="B15" s="16" t="s">
        <v>104</v>
      </c>
      <c r="C15" s="64" t="n">
        <f aca="false">'T · Track'!E63</f>
        <v>0.216796875</v>
      </c>
      <c r="E15" s="16" t="s">
        <v>249</v>
      </c>
      <c r="F15" s="65" t="n">
        <f aca="false">'Income Streams'!G26</f>
        <v>0.0344827586206897</v>
      </c>
    </row>
    <row r="16" customFormat="false" ht="15" hidden="false" customHeight="false" outlineLevel="0" collapsed="false">
      <c r="B16" s="16" t="s">
        <v>100</v>
      </c>
      <c r="C16" s="66" t="n">
        <f aca="false">'T · Track'!E59</f>
        <v>265</v>
      </c>
      <c r="E16" s="16" t="s">
        <v>250</v>
      </c>
      <c r="F16" s="67" t="n">
        <f aca="false">'T · Time'!C22</f>
        <v>4</v>
      </c>
    </row>
    <row r="17" customFormat="false" ht="23.85" hidden="false" customHeight="false" outlineLevel="0" collapsed="false">
      <c r="B17" s="16" t="s">
        <v>251</v>
      </c>
      <c r="C17" s="62" t="n">
        <f aca="false">'R · Reclaim'!F32</f>
        <v>48</v>
      </c>
      <c r="E17" s="16" t="s">
        <v>252</v>
      </c>
      <c r="F17" s="59" t="n">
        <f aca="false">'S · Save'!E32</f>
        <v>80</v>
      </c>
    </row>
    <row r="18" customFormat="false" ht="15" hidden="false" customHeight="false" outlineLevel="0" collapsed="false">
      <c r="B18" s="16" t="s">
        <v>253</v>
      </c>
      <c r="C18" s="62" t="n">
        <f aca="false">'R · Reclaim'!F33</f>
        <v>576</v>
      </c>
      <c r="E18" s="16" t="s">
        <v>254</v>
      </c>
      <c r="F18" s="62" t="n">
        <f aca="false">'Income Streams'!G24</f>
        <v>150</v>
      </c>
    </row>
    <row r="19" customFormat="false" ht="15" hidden="false" customHeight="false" outlineLevel="0" collapsed="false">
      <c r="B19" s="19" t="s">
        <v>255</v>
      </c>
    </row>
    <row r="20" customFormat="false" ht="15" hidden="false" customHeight="false" outlineLevel="0" collapsed="false">
      <c r="B20" s="16" t="s">
        <v>256</v>
      </c>
      <c r="C20" s="66" t="n">
        <f aca="false">'U · Understand'!C17</f>
        <v>1500</v>
      </c>
      <c r="E20" s="68" t="s">
        <v>257</v>
      </c>
    </row>
    <row r="21" customFormat="false" ht="15" hidden="false" customHeight="false" outlineLevel="0" collapsed="false">
      <c r="B21" s="16" t="s">
        <v>142</v>
      </c>
      <c r="C21" s="66" t="n">
        <f aca="false">'U · Understand'!C19</f>
        <v>298.5</v>
      </c>
      <c r="E21" s="69" t="s">
        <v>258</v>
      </c>
      <c r="F21" s="69"/>
    </row>
    <row r="22" customFormat="false" ht="15" hidden="false" customHeight="false" outlineLevel="0" collapsed="false">
      <c r="B22" s="16" t="s">
        <v>259</v>
      </c>
      <c r="C22" s="62" t="n">
        <f aca="false">'S · Save'!C11</f>
        <v>1200</v>
      </c>
      <c r="E22" s="69" t="s">
        <v>260</v>
      </c>
      <c r="F22" s="69"/>
    </row>
    <row r="23" customFormat="false" ht="15" hidden="false" customHeight="false" outlineLevel="0" collapsed="false">
      <c r="B23" s="16" t="s">
        <v>261</v>
      </c>
      <c r="C23" s="61" t="n">
        <f aca="false">'S · Save'!C10</f>
        <v>5220</v>
      </c>
      <c r="E23" s="69" t="s">
        <v>262</v>
      </c>
      <c r="F23" s="69"/>
    </row>
    <row r="24" customFormat="false" ht="15" hidden="false" customHeight="false" outlineLevel="0" collapsed="false">
      <c r="B24" s="16" t="s">
        <v>263</v>
      </c>
      <c r="C24" s="64" t="n">
        <f aca="false">'S · Save'!C12</f>
        <v>0.229885057471264</v>
      </c>
      <c r="E24" s="69" t="s">
        <v>264</v>
      </c>
      <c r="F24" s="69"/>
    </row>
    <row r="25" customFormat="false" ht="15" hidden="false" customHeight="false" outlineLevel="0" collapsed="false">
      <c r="B25" s="16" t="s">
        <v>265</v>
      </c>
      <c r="C25" s="62" t="n">
        <f aca="false">'Income Streams'!G23</f>
        <v>60</v>
      </c>
      <c r="E25" s="69" t="s">
        <v>266</v>
      </c>
      <c r="F25" s="69"/>
    </row>
    <row r="26" customFormat="false" ht="15" hidden="false" customHeight="false" outlineLevel="0" collapsed="false">
      <c r="E26" s="69" t="s">
        <v>267</v>
      </c>
      <c r="F26" s="69"/>
    </row>
    <row r="27" customFormat="false" ht="15" hidden="false" customHeight="false" outlineLevel="0" collapsed="false">
      <c r="E27" s="69" t="s">
        <v>268</v>
      </c>
      <c r="F27" s="69"/>
    </row>
    <row r="28" customFormat="false" ht="15" hidden="false" customHeight="false" outlineLevel="0" collapsed="false">
      <c r="B28" s="70" t="s">
        <v>269</v>
      </c>
    </row>
    <row r="29" customFormat="false" ht="15" hidden="false" customHeight="false" outlineLevel="0" collapsed="false">
      <c r="B29" s="71" t="s">
        <v>270</v>
      </c>
    </row>
  </sheetData>
  <mergeCells count="11">
    <mergeCell ref="B2:F2"/>
    <mergeCell ref="B3:F3"/>
    <mergeCell ref="B6:C7"/>
    <mergeCell ref="E6:F7"/>
    <mergeCell ref="E21:F21"/>
    <mergeCell ref="E22:F22"/>
    <mergeCell ref="E23:F23"/>
    <mergeCell ref="E24:F24"/>
    <mergeCell ref="E25:F25"/>
    <mergeCell ref="E26:F26"/>
    <mergeCell ref="E27:F27"/>
  </mergeCells>
  <conditionalFormatting sqref="E21:F27">
    <cfRule type="expression" priority="2" aboveAverage="0" equalAverage="0" bottom="0" percent="0" rank="0" text="" dxfId="0">
      <formula>ROW(E21)-21=$C$9</formula>
    </cfRule>
  </conditionalFormatting>
  <conditionalFormatting sqref="C14">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E6E"/>
    <pageSetUpPr fitToPage="false"/>
  </sheetPr>
  <dimension ref="B2:L1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6" min="3" style="0" width="13"/>
    <col collapsed="false" customWidth="true" hidden="false" outlineLevel="0" max="7" min="7" style="0" width="11"/>
    <col collapsed="false" customWidth="true" hidden="false" outlineLevel="0" max="8" min="8" style="0" width="14"/>
    <col collapsed="false" customWidth="true" hidden="false" outlineLevel="0" max="10" min="9" style="0" width="13"/>
    <col collapsed="false" customWidth="true" hidden="false" outlineLevel="0" max="11" min="11" style="0" width="22"/>
    <col collapsed="false" customWidth="true" hidden="false" outlineLevel="0" max="12" min="12" style="0" width="34"/>
  </cols>
  <sheetData>
    <row r="2" customFormat="false" ht="39.75" hidden="false" customHeight="true" outlineLevel="0" collapsed="false">
      <c r="B2" s="12" t="s">
        <v>271</v>
      </c>
      <c r="C2" s="12"/>
      <c r="D2" s="12"/>
      <c r="E2" s="12"/>
      <c r="F2" s="12"/>
      <c r="G2" s="12"/>
      <c r="H2" s="12"/>
      <c r="I2" s="12"/>
      <c r="J2" s="12"/>
      <c r="K2" s="12"/>
      <c r="L2" s="12"/>
    </row>
    <row r="3" customFormat="false" ht="31.5" hidden="false" customHeight="true" outlineLevel="0" collapsed="false">
      <c r="B3" s="13" t="s">
        <v>272</v>
      </c>
      <c r="C3" s="13"/>
      <c r="D3" s="13"/>
      <c r="E3" s="13"/>
      <c r="F3" s="13"/>
      <c r="G3" s="13"/>
      <c r="H3" s="13"/>
      <c r="I3" s="13"/>
      <c r="J3" s="13"/>
      <c r="K3" s="13"/>
      <c r="L3" s="13"/>
    </row>
    <row r="5" customFormat="false" ht="30" hidden="false" customHeight="true" outlineLevel="0" collapsed="false">
      <c r="B5" s="20" t="s">
        <v>273</v>
      </c>
      <c r="C5" s="20" t="s">
        <v>274</v>
      </c>
      <c r="D5" s="20" t="s">
        <v>275</v>
      </c>
      <c r="E5" s="20" t="s">
        <v>100</v>
      </c>
      <c r="F5" s="20" t="s">
        <v>276</v>
      </c>
      <c r="G5" s="20" t="s">
        <v>104</v>
      </c>
      <c r="H5" s="20" t="s">
        <v>277</v>
      </c>
      <c r="I5" s="20" t="s">
        <v>129</v>
      </c>
      <c r="J5" s="20" t="s">
        <v>278</v>
      </c>
      <c r="K5" s="20" t="s">
        <v>279</v>
      </c>
      <c r="L5" s="20" t="s">
        <v>280</v>
      </c>
    </row>
    <row r="6" customFormat="false" ht="15" hidden="false" customHeight="false" outlineLevel="0" collapsed="false">
      <c r="B6" s="21" t="s">
        <v>281</v>
      </c>
      <c r="C6" s="22" t="n">
        <v>2500</v>
      </c>
      <c r="D6" s="22" t="n">
        <v>1650</v>
      </c>
      <c r="E6" s="22" t="n">
        <v>330</v>
      </c>
      <c r="F6" s="32" t="n">
        <f aca="false">IF(C6="","",C6-N(D6)-N(E6))</f>
        <v>520</v>
      </c>
      <c r="G6" s="47" t="n">
        <f aca="false">IF(N(C6)&gt;0,F6/C6,"")</f>
        <v>0.208</v>
      </c>
      <c r="H6" s="22" t="n">
        <v>1000</v>
      </c>
      <c r="I6" s="22" t="n">
        <v>1500</v>
      </c>
      <c r="J6" s="22" t="n">
        <v>0</v>
      </c>
      <c r="K6" s="72" t="str">
        <f aca="false">IF(C6="","",INDEX(Lists!$F$1:$F$7,1+IF(F6&lt;0,0,IF(N(H6)&lt;N(D6),1,IF(N(I6)&gt;0,2,IF(N(H6)&lt;N(D6)*'S · Save'!$C$8,3,IF(N(J6)&lt;0.25*N(D6),4,IF(N(J6)&lt;N(D6),5,6))))))))</f>
        <v>Level 1 · Stable</v>
      </c>
      <c r="L6" s="21" t="s">
        <v>282</v>
      </c>
    </row>
    <row r="7" customFormat="false" ht="15" hidden="false" customHeight="false" outlineLevel="0" collapsed="false">
      <c r="B7" s="21" t="s">
        <v>283</v>
      </c>
      <c r="C7" s="22" t="n">
        <v>2560</v>
      </c>
      <c r="D7" s="22" t="n">
        <v>1640</v>
      </c>
      <c r="E7" s="22" t="n">
        <v>265</v>
      </c>
      <c r="F7" s="32" t="n">
        <f aca="false">IF(C7="","",C7-N(D7)-N(E7))</f>
        <v>655</v>
      </c>
      <c r="G7" s="47" t="n">
        <f aca="false">IF(N(C7)&gt;0,F7/C7,"")</f>
        <v>0.255859375</v>
      </c>
      <c r="H7" s="22" t="n">
        <v>1200</v>
      </c>
      <c r="I7" s="22" t="n">
        <v>1400</v>
      </c>
      <c r="J7" s="22" t="n">
        <v>60</v>
      </c>
      <c r="K7" s="72" t="str">
        <f aca="false">IF(C7="","",INDEX(Lists!$F$1:$F$7,1+IF(F7&lt;0,0,IF(N(H7)&lt;N(D7),1,IF(N(I7)&gt;0,2,IF(N(H7)&lt;N(D7)*'S · Save'!$C$8,3,IF(N(J7)&lt;0.25*N(D7),4,IF(N(J7)&lt;N(D7),5,6))))))))</f>
        <v>Level 1 · Stable</v>
      </c>
      <c r="L7" s="21" t="s">
        <v>284</v>
      </c>
    </row>
    <row r="8" customFormat="false" ht="15" hidden="false" customHeight="false" outlineLevel="0" collapsed="false">
      <c r="B8" s="21"/>
      <c r="C8" s="22"/>
      <c r="D8" s="22"/>
      <c r="E8" s="22"/>
      <c r="F8" s="32" t="str">
        <f aca="false">IF(C8="","",C8-N(D8)-N(E8))</f>
        <v/>
      </c>
      <c r="G8" s="47" t="str">
        <f aca="false">IF(N(C8)&gt;0,F8/C8,"")</f>
        <v/>
      </c>
      <c r="H8" s="22"/>
      <c r="I8" s="22"/>
      <c r="J8" s="22"/>
      <c r="K8" s="72" t="str">
        <f aca="false">IF(C8="","",INDEX(Lists!$F$1:$F$7,1+IF(F8&lt;0,0,IF(N(H8)&lt;N(D8),1,IF(N(I8)&gt;0,2,IF(N(H8)&lt;N(D8)*'S · Save'!$C$8,3,IF(N(J8)&lt;0.25*N(D8),4,IF(N(J8)&lt;N(D8),5,6))))))))</f>
        <v/>
      </c>
      <c r="L8" s="21"/>
    </row>
    <row r="9" customFormat="false" ht="15" hidden="false" customHeight="false" outlineLevel="0" collapsed="false">
      <c r="B9" s="21"/>
      <c r="C9" s="22"/>
      <c r="D9" s="22"/>
      <c r="E9" s="22"/>
      <c r="F9" s="32" t="str">
        <f aca="false">IF(C9="","",C9-N(D9)-N(E9))</f>
        <v/>
      </c>
      <c r="G9" s="47" t="str">
        <f aca="false">IF(N(C9)&gt;0,F9/C9,"")</f>
        <v/>
      </c>
      <c r="H9" s="22"/>
      <c r="I9" s="22"/>
      <c r="J9" s="22"/>
      <c r="K9" s="72" t="str">
        <f aca="false">IF(C9="","",INDEX(Lists!$F$1:$F$7,1+IF(F9&lt;0,0,IF(N(H9)&lt;N(D9),1,IF(N(I9)&gt;0,2,IF(N(H9)&lt;N(D9)*'S · Save'!$C$8,3,IF(N(J9)&lt;0.25*N(D9),4,IF(N(J9)&lt;N(D9),5,6))))))))</f>
        <v/>
      </c>
      <c r="L9" s="21"/>
    </row>
    <row r="10" customFormat="false" ht="15" hidden="false" customHeight="false" outlineLevel="0" collapsed="false">
      <c r="B10" s="21"/>
      <c r="C10" s="22"/>
      <c r="D10" s="22"/>
      <c r="E10" s="22"/>
      <c r="F10" s="32" t="str">
        <f aca="false">IF(C10="","",C10-N(D10)-N(E10))</f>
        <v/>
      </c>
      <c r="G10" s="47" t="str">
        <f aca="false">IF(N(C10)&gt;0,F10/C10,"")</f>
        <v/>
      </c>
      <c r="H10" s="22"/>
      <c r="I10" s="22"/>
      <c r="J10" s="22"/>
      <c r="K10" s="72" t="str">
        <f aca="false">IF(C10="","",INDEX(Lists!$F$1:$F$7,1+IF(F10&lt;0,0,IF(N(H10)&lt;N(D10),1,IF(N(I10)&gt;0,2,IF(N(H10)&lt;N(D10)*'S · Save'!$C$8,3,IF(N(J10)&lt;0.25*N(D10),4,IF(N(J10)&lt;N(D10),5,6))))))))</f>
        <v/>
      </c>
      <c r="L10" s="21"/>
    </row>
    <row r="11" customFormat="false" ht="15" hidden="false" customHeight="false" outlineLevel="0" collapsed="false">
      <c r="B11" s="21"/>
      <c r="C11" s="22"/>
      <c r="D11" s="22"/>
      <c r="E11" s="22"/>
      <c r="F11" s="32" t="str">
        <f aca="false">IF(C11="","",C11-N(D11)-N(E11))</f>
        <v/>
      </c>
      <c r="G11" s="47" t="str">
        <f aca="false">IF(N(C11)&gt;0,F11/C11,"")</f>
        <v/>
      </c>
      <c r="H11" s="22"/>
      <c r="I11" s="22"/>
      <c r="J11" s="22"/>
      <c r="K11" s="72" t="str">
        <f aca="false">IF(C11="","",INDEX(Lists!$F$1:$F$7,1+IF(F11&lt;0,0,IF(N(H11)&lt;N(D11),1,IF(N(I11)&gt;0,2,IF(N(H11)&lt;N(D11)*'S · Save'!$C$8,3,IF(N(J11)&lt;0.25*N(D11),4,IF(N(J11)&lt;N(D11),5,6))))))))</f>
        <v/>
      </c>
      <c r="L11" s="21"/>
    </row>
    <row r="12" customFormat="false" ht="15" hidden="false" customHeight="false" outlineLevel="0" collapsed="false">
      <c r="B12" s="21"/>
      <c r="C12" s="22"/>
      <c r="D12" s="22"/>
      <c r="E12" s="22"/>
      <c r="F12" s="32" t="str">
        <f aca="false">IF(C12="","",C12-N(D12)-N(E12))</f>
        <v/>
      </c>
      <c r="G12" s="47" t="str">
        <f aca="false">IF(N(C12)&gt;0,F12/C12,"")</f>
        <v/>
      </c>
      <c r="H12" s="22"/>
      <c r="I12" s="22"/>
      <c r="J12" s="22"/>
      <c r="K12" s="72" t="str">
        <f aca="false">IF(C12="","",INDEX(Lists!$F$1:$F$7,1+IF(F12&lt;0,0,IF(N(H12)&lt;N(D12),1,IF(N(I12)&gt;0,2,IF(N(H12)&lt;N(D12)*'S · Save'!$C$8,3,IF(N(J12)&lt;0.25*N(D12),4,IF(N(J12)&lt;N(D12),5,6))))))))</f>
        <v/>
      </c>
      <c r="L12" s="21"/>
    </row>
    <row r="13" customFormat="false" ht="15" hidden="false" customHeight="false" outlineLevel="0" collapsed="false">
      <c r="B13" s="21"/>
      <c r="C13" s="22"/>
      <c r="D13" s="22"/>
      <c r="E13" s="22"/>
      <c r="F13" s="32" t="str">
        <f aca="false">IF(C13="","",C13-N(D13)-N(E13))</f>
        <v/>
      </c>
      <c r="G13" s="47" t="str">
        <f aca="false">IF(N(C13)&gt;0,F13/C13,"")</f>
        <v/>
      </c>
      <c r="H13" s="22"/>
      <c r="I13" s="22"/>
      <c r="J13" s="22"/>
      <c r="K13" s="72" t="str">
        <f aca="false">IF(C13="","",INDEX(Lists!$F$1:$F$7,1+IF(F13&lt;0,0,IF(N(H13)&lt;N(D13),1,IF(N(I13)&gt;0,2,IF(N(H13)&lt;N(D13)*'S · Save'!$C$8,3,IF(N(J13)&lt;0.25*N(D13),4,IF(N(J13)&lt;N(D13),5,6))))))))</f>
        <v/>
      </c>
      <c r="L13" s="21"/>
    </row>
    <row r="14" customFormat="false" ht="15" hidden="false" customHeight="false" outlineLevel="0" collapsed="false">
      <c r="B14" s="21"/>
      <c r="C14" s="22"/>
      <c r="D14" s="22"/>
      <c r="E14" s="22"/>
      <c r="F14" s="32" t="str">
        <f aca="false">IF(C14="","",C14-N(D14)-N(E14))</f>
        <v/>
      </c>
      <c r="G14" s="47" t="str">
        <f aca="false">IF(N(C14)&gt;0,F14/C14,"")</f>
        <v/>
      </c>
      <c r="H14" s="22"/>
      <c r="I14" s="22"/>
      <c r="J14" s="22"/>
      <c r="K14" s="72" t="str">
        <f aca="false">IF(C14="","",INDEX(Lists!$F$1:$F$7,1+IF(F14&lt;0,0,IF(N(H14)&lt;N(D14),1,IF(N(I14)&gt;0,2,IF(N(H14)&lt;N(D14)*'S · Save'!$C$8,3,IF(N(J14)&lt;0.25*N(D14),4,IF(N(J14)&lt;N(D14),5,6))))))))</f>
        <v/>
      </c>
      <c r="L14" s="21"/>
    </row>
    <row r="15" customFormat="false" ht="15" hidden="false" customHeight="false" outlineLevel="0" collapsed="false">
      <c r="B15" s="21"/>
      <c r="C15" s="22"/>
      <c r="D15" s="22"/>
      <c r="E15" s="22"/>
      <c r="F15" s="32" t="str">
        <f aca="false">IF(C15="","",C15-N(D15)-N(E15))</f>
        <v/>
      </c>
      <c r="G15" s="47" t="str">
        <f aca="false">IF(N(C15)&gt;0,F15/C15,"")</f>
        <v/>
      </c>
      <c r="H15" s="22"/>
      <c r="I15" s="22"/>
      <c r="J15" s="22"/>
      <c r="K15" s="72" t="str">
        <f aca="false">IF(C15="","",INDEX(Lists!$F$1:$F$7,1+IF(F15&lt;0,0,IF(N(H15)&lt;N(D15),1,IF(N(I15)&gt;0,2,IF(N(H15)&lt;N(D15)*'S · Save'!$C$8,3,IF(N(J15)&lt;0.25*N(D15),4,IF(N(J15)&lt;N(D15),5,6))))))))</f>
        <v/>
      </c>
      <c r="L15" s="21"/>
    </row>
    <row r="16" customFormat="false" ht="15" hidden="false" customHeight="false" outlineLevel="0" collapsed="false">
      <c r="B16" s="21"/>
      <c r="C16" s="22"/>
      <c r="D16" s="22"/>
      <c r="E16" s="22"/>
      <c r="F16" s="32" t="str">
        <f aca="false">IF(C16="","",C16-N(D16)-N(E16))</f>
        <v/>
      </c>
      <c r="G16" s="47" t="str">
        <f aca="false">IF(N(C16)&gt;0,F16/C16,"")</f>
        <v/>
      </c>
      <c r="H16" s="22"/>
      <c r="I16" s="22"/>
      <c r="J16" s="22"/>
      <c r="K16" s="72" t="str">
        <f aca="false">IF(C16="","",INDEX(Lists!$F$1:$F$7,1+IF(F16&lt;0,0,IF(N(H16)&lt;N(D16),1,IF(N(I16)&gt;0,2,IF(N(H16)&lt;N(D16)*'S · Save'!$C$8,3,IF(N(J16)&lt;0.25*N(D16),4,IF(N(J16)&lt;N(D16),5,6))))))))</f>
        <v/>
      </c>
      <c r="L16" s="21"/>
    </row>
    <row r="17" customFormat="false" ht="15" hidden="false" customHeight="false" outlineLevel="0" collapsed="false">
      <c r="B17" s="21"/>
      <c r="C17" s="22"/>
      <c r="D17" s="22"/>
      <c r="E17" s="22"/>
      <c r="F17" s="32" t="str">
        <f aca="false">IF(C17="","",C17-N(D17)-N(E17))</f>
        <v/>
      </c>
      <c r="G17" s="47" t="str">
        <f aca="false">IF(N(C17)&gt;0,F17/C17,"")</f>
        <v/>
      </c>
      <c r="H17" s="22"/>
      <c r="I17" s="22"/>
      <c r="J17" s="22"/>
      <c r="K17" s="72" t="str">
        <f aca="false">IF(C17="","",INDEX(Lists!$F$1:$F$7,1+IF(F17&lt;0,0,IF(N(H17)&lt;N(D17),1,IF(N(I17)&gt;0,2,IF(N(H17)&lt;N(D17)*'S · Save'!$C$8,3,IF(N(J17)&lt;0.25*N(D17),4,IF(N(J17)&lt;N(D17),5,6))))))))</f>
        <v/>
      </c>
      <c r="L17" s="21"/>
    </row>
  </sheetData>
  <mergeCells count="2">
    <mergeCell ref="B2:L2"/>
    <mergeCell ref="B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79</v>
      </c>
      <c r="B1" s="0" t="s">
        <v>80</v>
      </c>
      <c r="C1" s="0" t="s">
        <v>123</v>
      </c>
      <c r="D1" s="0" t="s">
        <v>220</v>
      </c>
      <c r="E1" s="0" t="s">
        <v>231</v>
      </c>
      <c r="F1" s="0" t="s">
        <v>285</v>
      </c>
    </row>
    <row r="2" customFormat="false" ht="15" hidden="false" customHeight="false" outlineLevel="0" collapsed="false">
      <c r="A2" s="0" t="s">
        <v>83</v>
      </c>
      <c r="B2" s="0" t="s">
        <v>94</v>
      </c>
      <c r="C2" s="0" t="s">
        <v>114</v>
      </c>
      <c r="D2" s="0" t="s">
        <v>286</v>
      </c>
      <c r="E2" s="0" t="s">
        <v>226</v>
      </c>
      <c r="F2" s="0" t="s">
        <v>287</v>
      </c>
    </row>
    <row r="3" customFormat="false" ht="15" hidden="false" customHeight="false" outlineLevel="0" collapsed="false">
      <c r="A3" s="0" t="s">
        <v>84</v>
      </c>
      <c r="C3" s="0" t="s">
        <v>117</v>
      </c>
      <c r="D3" s="0" t="s">
        <v>225</v>
      </c>
      <c r="E3" s="0" t="s">
        <v>221</v>
      </c>
      <c r="F3" s="0" t="s">
        <v>288</v>
      </c>
    </row>
    <row r="4" customFormat="false" ht="15" hidden="false" customHeight="false" outlineLevel="0" collapsed="false">
      <c r="A4" s="0" t="s">
        <v>86</v>
      </c>
      <c r="C4" s="0" t="s">
        <v>120</v>
      </c>
      <c r="D4" s="0" t="s">
        <v>230</v>
      </c>
      <c r="E4" s="0" t="s">
        <v>289</v>
      </c>
      <c r="F4" s="0" t="s">
        <v>290</v>
      </c>
    </row>
    <row r="5" customFormat="false" ht="15" hidden="false" customHeight="false" outlineLevel="0" collapsed="false">
      <c r="A5" s="0" t="s">
        <v>87</v>
      </c>
      <c r="D5" s="0" t="s">
        <v>291</v>
      </c>
      <c r="F5" s="0" t="s">
        <v>292</v>
      </c>
    </row>
    <row r="6" customFormat="false" ht="15" hidden="false" customHeight="false" outlineLevel="0" collapsed="false">
      <c r="A6" s="0" t="s">
        <v>293</v>
      </c>
      <c r="D6" s="0" t="s">
        <v>294</v>
      </c>
      <c r="F6" s="0" t="s">
        <v>295</v>
      </c>
    </row>
    <row r="7" customFormat="false" ht="15" hidden="false" customHeight="false" outlineLevel="0" collapsed="false">
      <c r="A7" s="0" t="s">
        <v>89</v>
      </c>
      <c r="D7" s="0" t="s">
        <v>296</v>
      </c>
      <c r="F7" s="0" t="s">
        <v>297</v>
      </c>
    </row>
    <row r="8" customFormat="false" ht="15" hidden="false" customHeight="false" outlineLevel="0" collapsed="false">
      <c r="A8" s="0" t="s">
        <v>298</v>
      </c>
      <c r="D8" s="0" t="s">
        <v>299</v>
      </c>
    </row>
    <row r="9" customFormat="false" ht="15" hidden="false" customHeight="false" outlineLevel="0" collapsed="false">
      <c r="A9" s="0" t="s">
        <v>91</v>
      </c>
      <c r="D9" s="0" t="s">
        <v>300</v>
      </c>
    </row>
    <row r="10" customFormat="false" ht="15" hidden="false" customHeight="false" outlineLevel="0" collapsed="false">
      <c r="A10" s="0" t="s">
        <v>93</v>
      </c>
    </row>
    <row r="11" customFormat="false" ht="15" hidden="false" customHeight="false" outlineLevel="0" collapsed="false">
      <c r="A11" s="0" t="s">
        <v>96</v>
      </c>
    </row>
    <row r="12" customFormat="false" ht="15" hidden="false" customHeight="false" outlineLevel="0" collapsed="false">
      <c r="A12" s="0" t="s">
        <v>98</v>
      </c>
    </row>
    <row r="13" customFormat="false" ht="15" hidden="false" customHeight="false" outlineLevel="0" collapsed="false">
      <c r="A13" s="0" t="s">
        <v>301</v>
      </c>
    </row>
    <row r="14" customFormat="false" ht="15" hidden="false" customHeight="false" outlineLevel="0" collapsed="false">
      <c r="A14" s="0" t="s">
        <v>302</v>
      </c>
    </row>
    <row r="15" customFormat="false" ht="15" hidden="false" customHeight="false" outlineLevel="0" collapsed="false">
      <c r="A15" s="0" t="s">
        <v>303</v>
      </c>
    </row>
    <row r="16" customFormat="false" ht="15" hidden="false" customHeight="false" outlineLevel="0" collapsed="false">
      <c r="A16" s="0"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2026-10-16T12:37:27Z</dcterms:created>
  <dc:creator>openpyxl</dc:creator>
  <dc:description/>
  <dc:language>en-US</dc:language>
  <cp:lastModifiedBy/>
  <dcterms:modified xsi:type="dcterms:W3CDTF">2026-10-16T12:37:27Z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